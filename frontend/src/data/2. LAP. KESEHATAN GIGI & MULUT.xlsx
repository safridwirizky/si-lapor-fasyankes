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  <sheet state="visible" name="FEBRUARI" sheetId="2" r:id="rId6"/>
    <sheet state="visible" name="MARET" sheetId="3" r:id="rId7"/>
    <sheet state="visible" name="APRIL" sheetId="4" r:id="rId8"/>
    <sheet state="visible" name="MEI" sheetId="5" r:id="rId9"/>
    <sheet state="visible" name="JUNI" sheetId="6" r:id="rId10"/>
    <sheet state="visible" name="JULI" sheetId="7" r:id="rId11"/>
    <sheet state="visible" name="AGUSTUS" sheetId="8" r:id="rId12"/>
    <sheet state="visible" name="SEPTEMBER" sheetId="9" r:id="rId13"/>
    <sheet state="visible" name="OKTOBER" sheetId="10" r:id="rId14"/>
    <sheet state="visible" name="NOVEMBER" sheetId="11" r:id="rId15"/>
    <sheet state="visible" name="DESEMBER" sheetId="12" r:id="rId16"/>
    <sheet state="visible" name="REKAP KES. GIGI &amp; MULUT" sheetId="13" r:id="rId17"/>
  </sheets>
  <definedNames/>
  <calcPr/>
</workbook>
</file>

<file path=xl/sharedStrings.xml><?xml version="1.0" encoding="utf-8"?>
<sst xmlns="http://schemas.openxmlformats.org/spreadsheetml/2006/main" count="338" uniqueCount="37">
  <si>
    <t>LAPORAN PELAYANAN KESEHATAN GIGI DAN MULUT</t>
  </si>
  <si>
    <t>DI PUSKESMAS KABUPATEN ROTE NDAO</t>
  </si>
  <si>
    <t>JANUARI 2026</t>
  </si>
  <si>
    <t>APRIL 2026</t>
  </si>
  <si>
    <t>FEBRUARI 2026</t>
  </si>
  <si>
    <t>MARET 2026</t>
  </si>
  <si>
    <t>NO</t>
  </si>
  <si>
    <t>PUSKESMAS</t>
  </si>
  <si>
    <t>PELAYANAN KESEHATAN GIGI DAN MULUT</t>
  </si>
  <si>
    <t>TUMPATAN
GIGI TETAP</t>
  </si>
  <si>
    <t>PENCABUTAN
GIGI TETAP</t>
  </si>
  <si>
    <t>JUMLAH
KUNJUNGAN</t>
  </si>
  <si>
    <t>RASIO
TUMPATAN/PENCABUTAN</t>
  </si>
  <si>
    <t>JUMLAH
KASUS GIGI</t>
  </si>
  <si>
    <t>JUMLAH KASUS
DIRUJUK</t>
  </si>
  <si>
    <t>% KASUS
DIRUJUK</t>
  </si>
  <si>
    <t>Eahun</t>
  </si>
  <si>
    <t>Sotimori</t>
  </si>
  <si>
    <t>Korbafo</t>
  </si>
  <si>
    <t>Sonimanu</t>
  </si>
  <si>
    <t>Feapopi</t>
  </si>
  <si>
    <t>Ba'a</t>
  </si>
  <si>
    <t>Oele</t>
  </si>
  <si>
    <t>Busalangga</t>
  </si>
  <si>
    <t>Oelaba</t>
  </si>
  <si>
    <t>Batutua</t>
  </si>
  <si>
    <t>Delha</t>
  </si>
  <si>
    <t>Ndao</t>
  </si>
  <si>
    <t>Total</t>
  </si>
  <si>
    <t>MEI 2026</t>
  </si>
  <si>
    <t>JUNI 2026</t>
  </si>
  <si>
    <t>JULI 2026</t>
  </si>
  <si>
    <t>AGUSTUS 2026</t>
  </si>
  <si>
    <t>SEPTEMBER 2026</t>
  </si>
  <si>
    <t>OKTOBER 2026</t>
  </si>
  <si>
    <t>NOVEMBER 2026</t>
  </si>
  <si>
    <t>DESEMBER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</si>
</sst>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quotePrefix="1"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6" fillId="0" fontId="1" numFmtId="0" xfId="0" applyBorder="1" applyFont="1"/>
    <xf borderId="6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2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1">
        <v>36.0</v>
      </c>
      <c r="D8" s="11">
        <v>36.0</v>
      </c>
      <c r="E8" s="11">
        <v>72.0</v>
      </c>
      <c r="F8" s="12">
        <f t="shared" ref="F8:F20" si="1">C8/D8</f>
        <v>1</v>
      </c>
      <c r="G8" s="11">
        <v>72.0</v>
      </c>
      <c r="H8" s="12"/>
      <c r="I8" s="12">
        <f t="shared" ref="I8:I20" si="2">H8/G8</f>
        <v>0</v>
      </c>
    </row>
    <row r="9">
      <c r="A9" s="10">
        <v>2.0</v>
      </c>
      <c r="B9" s="11" t="s">
        <v>17</v>
      </c>
      <c r="C9" s="11">
        <v>1.0</v>
      </c>
      <c r="D9" s="11">
        <v>2.0</v>
      </c>
      <c r="E9" s="11">
        <v>8.0</v>
      </c>
      <c r="F9" s="12">
        <f t="shared" si="1"/>
        <v>0.5</v>
      </c>
      <c r="G9" s="11">
        <v>8.0</v>
      </c>
      <c r="H9" s="11">
        <v>0.0</v>
      </c>
      <c r="I9" s="12">
        <f t="shared" si="2"/>
        <v>0</v>
      </c>
    </row>
    <row r="10">
      <c r="A10" s="10">
        <v>3.0</v>
      </c>
      <c r="B10" s="11" t="s">
        <v>18</v>
      </c>
      <c r="C10" s="11">
        <v>17.0</v>
      </c>
      <c r="D10" s="11">
        <v>0.0</v>
      </c>
      <c r="E10" s="11">
        <v>45.0</v>
      </c>
      <c r="F10" s="12" t="str">
        <f t="shared" si="1"/>
        <v>#DIV/0!</v>
      </c>
      <c r="G10" s="11">
        <v>49.0</v>
      </c>
      <c r="H10" s="11">
        <v>0.0</v>
      </c>
      <c r="I10" s="12">
        <f t="shared" si="2"/>
        <v>0</v>
      </c>
    </row>
    <row r="11">
      <c r="A11" s="10">
        <v>4.0</v>
      </c>
      <c r="B11" s="11" t="s">
        <v>19</v>
      </c>
      <c r="C11" s="11">
        <v>0.0</v>
      </c>
      <c r="D11" s="11">
        <v>0.0</v>
      </c>
      <c r="E11" s="11">
        <v>2.0</v>
      </c>
      <c r="F11" s="12" t="str">
        <f t="shared" si="1"/>
        <v>#DIV/0!</v>
      </c>
      <c r="G11" s="11">
        <v>2.0</v>
      </c>
      <c r="H11" s="11">
        <v>0.0</v>
      </c>
      <c r="I11" s="12">
        <f t="shared" si="2"/>
        <v>0</v>
      </c>
    </row>
    <row r="12">
      <c r="A12" s="10">
        <v>5.0</v>
      </c>
      <c r="B12" s="11" t="s">
        <v>20</v>
      </c>
      <c r="C12" s="11">
        <v>0.0</v>
      </c>
      <c r="D12" s="11">
        <v>0.0</v>
      </c>
      <c r="E12" s="11">
        <v>2.0</v>
      </c>
      <c r="F12" s="12" t="str">
        <f t="shared" si="1"/>
        <v>#DIV/0!</v>
      </c>
      <c r="G12" s="11">
        <v>2.0</v>
      </c>
      <c r="H12" s="11">
        <v>0.0</v>
      </c>
      <c r="I12" s="12">
        <f t="shared" si="2"/>
        <v>0</v>
      </c>
    </row>
    <row r="13">
      <c r="A13" s="10">
        <v>6.0</v>
      </c>
      <c r="B13" s="11" t="s">
        <v>21</v>
      </c>
      <c r="C13" s="11">
        <v>4.0</v>
      </c>
      <c r="D13" s="11">
        <v>0.0</v>
      </c>
      <c r="E13" s="11">
        <v>72.0</v>
      </c>
      <c r="F13" s="12" t="str">
        <f t="shared" si="1"/>
        <v>#DIV/0!</v>
      </c>
      <c r="G13" s="11">
        <v>72.0</v>
      </c>
      <c r="H13" s="11">
        <v>3.0</v>
      </c>
      <c r="I13" s="12">
        <f t="shared" si="2"/>
        <v>0.04166666667</v>
      </c>
    </row>
    <row r="14">
      <c r="A14" s="10">
        <v>7.0</v>
      </c>
      <c r="B14" s="11" t="s">
        <v>22</v>
      </c>
      <c r="C14" s="11">
        <v>0.0</v>
      </c>
      <c r="D14" s="11">
        <v>0.0</v>
      </c>
      <c r="E14" s="11">
        <v>38.0</v>
      </c>
      <c r="F14" s="12" t="str">
        <f t="shared" si="1"/>
        <v>#DIV/0!</v>
      </c>
      <c r="G14" s="11">
        <v>38.0</v>
      </c>
      <c r="H14" s="11">
        <v>1.0</v>
      </c>
      <c r="I14" s="12">
        <f t="shared" si="2"/>
        <v>0.02631578947</v>
      </c>
    </row>
    <row r="15">
      <c r="A15" s="10">
        <v>8.0</v>
      </c>
      <c r="B15" s="11" t="s">
        <v>23</v>
      </c>
      <c r="C15" s="11">
        <v>12.0</v>
      </c>
      <c r="D15" s="11">
        <v>2.0</v>
      </c>
      <c r="E15" s="11">
        <v>81.0</v>
      </c>
      <c r="F15" s="12">
        <f t="shared" si="1"/>
        <v>6</v>
      </c>
      <c r="G15" s="11">
        <v>81.0</v>
      </c>
      <c r="H15" s="11">
        <v>0.0</v>
      </c>
      <c r="I15" s="12">
        <f t="shared" si="2"/>
        <v>0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1">
        <v>0.0</v>
      </c>
      <c r="D18" s="11">
        <v>2.0</v>
      </c>
      <c r="E18" s="11">
        <v>22.0</v>
      </c>
      <c r="F18" s="12">
        <f t="shared" si="1"/>
        <v>0</v>
      </c>
      <c r="G18" s="11">
        <v>22.0</v>
      </c>
      <c r="H18" s="11">
        <v>0.0</v>
      </c>
      <c r="I18" s="12">
        <f t="shared" si="2"/>
        <v>0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70</v>
      </c>
      <c r="D20" s="13">
        <f t="shared" si="3"/>
        <v>42</v>
      </c>
      <c r="E20" s="13">
        <f t="shared" si="3"/>
        <v>342</v>
      </c>
      <c r="F20" s="12">
        <f t="shared" si="1"/>
        <v>1.666666667</v>
      </c>
      <c r="G20" s="13">
        <f t="shared" ref="G20:H20" si="4">SUM(G8:G19)</f>
        <v>346</v>
      </c>
      <c r="H20" s="13">
        <f t="shared" si="4"/>
        <v>4</v>
      </c>
      <c r="I20" s="12">
        <f t="shared" si="2"/>
        <v>0.01156069364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conditionalFormatting sqref="I8:I19">
    <cfRule type="notContainsBlanks" dxfId="0" priority="1">
      <formula>LEN(TRIM(I8))&gt;0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4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1">
        <v>15.0</v>
      </c>
      <c r="D8" s="11">
        <v>26.0</v>
      </c>
      <c r="E8" s="11">
        <v>41.0</v>
      </c>
      <c r="F8" s="12">
        <f t="shared" ref="F8:F20" si="1">C8/D8</f>
        <v>0.5769230769</v>
      </c>
      <c r="G8" s="11">
        <v>41.0</v>
      </c>
      <c r="H8" s="12"/>
      <c r="I8" s="12">
        <f t="shared" ref="I8:I20" si="2">H8/G8</f>
        <v>0</v>
      </c>
    </row>
    <row r="9">
      <c r="A9" s="10">
        <v>2.0</v>
      </c>
      <c r="B9" s="11" t="s">
        <v>17</v>
      </c>
      <c r="C9" s="11">
        <v>0.0</v>
      </c>
      <c r="D9" s="11">
        <v>3.0</v>
      </c>
      <c r="E9" s="11">
        <v>12.0</v>
      </c>
      <c r="F9" s="12">
        <f t="shared" si="1"/>
        <v>0</v>
      </c>
      <c r="G9" s="11">
        <v>12.0</v>
      </c>
      <c r="H9" s="11">
        <v>0.0</v>
      </c>
      <c r="I9" s="12">
        <f t="shared" si="2"/>
        <v>0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1">
        <v>0.0</v>
      </c>
      <c r="D11" s="11">
        <v>0.0</v>
      </c>
      <c r="E11" s="11">
        <v>1.0</v>
      </c>
      <c r="F11" s="12" t="str">
        <f t="shared" si="1"/>
        <v>#DIV/0!</v>
      </c>
      <c r="G11" s="11">
        <v>1.0</v>
      </c>
      <c r="H11" s="11">
        <v>0.0</v>
      </c>
      <c r="I11" s="12">
        <f t="shared" si="2"/>
        <v>0</v>
      </c>
    </row>
    <row r="12">
      <c r="A12" s="10">
        <v>5.0</v>
      </c>
      <c r="B12" s="11" t="s">
        <v>20</v>
      </c>
      <c r="C12" s="11">
        <v>0.0</v>
      </c>
      <c r="D12" s="11">
        <v>0.0</v>
      </c>
      <c r="E12" s="11">
        <v>3.0</v>
      </c>
      <c r="F12" s="12" t="str">
        <f t="shared" si="1"/>
        <v>#DIV/0!</v>
      </c>
      <c r="G12" s="11">
        <v>3.0</v>
      </c>
      <c r="H12" s="11">
        <v>0.0</v>
      </c>
      <c r="I12" s="12">
        <f t="shared" si="2"/>
        <v>0</v>
      </c>
    </row>
    <row r="13">
      <c r="A13" s="10">
        <v>6.0</v>
      </c>
      <c r="B13" s="11" t="s">
        <v>21</v>
      </c>
      <c r="C13" s="11">
        <v>2.0</v>
      </c>
      <c r="D13" s="11">
        <v>3.0</v>
      </c>
      <c r="E13" s="11">
        <v>61.0</v>
      </c>
      <c r="F13" s="12">
        <f t="shared" si="1"/>
        <v>0.6666666667</v>
      </c>
      <c r="G13" s="11">
        <v>61.0</v>
      </c>
      <c r="H13" s="11">
        <v>0.0</v>
      </c>
      <c r="I13" s="12">
        <f t="shared" si="2"/>
        <v>0</v>
      </c>
    </row>
    <row r="14">
      <c r="A14" s="10">
        <v>7.0</v>
      </c>
      <c r="B14" s="11" t="s">
        <v>22</v>
      </c>
      <c r="C14" s="11">
        <v>0.0</v>
      </c>
      <c r="D14" s="11">
        <v>2.0</v>
      </c>
      <c r="E14" s="11">
        <v>44.0</v>
      </c>
      <c r="F14" s="12">
        <f t="shared" si="1"/>
        <v>0</v>
      </c>
      <c r="G14" s="11">
        <v>44.0</v>
      </c>
      <c r="H14" s="11">
        <v>0.0</v>
      </c>
      <c r="I14" s="12">
        <f t="shared" si="2"/>
        <v>0</v>
      </c>
    </row>
    <row r="15">
      <c r="A15" s="10">
        <v>8.0</v>
      </c>
      <c r="B15" s="11" t="s">
        <v>23</v>
      </c>
      <c r="C15" s="11">
        <v>18.0</v>
      </c>
      <c r="D15" s="11">
        <v>7.0</v>
      </c>
      <c r="E15" s="11">
        <v>91.0</v>
      </c>
      <c r="F15" s="12">
        <f t="shared" si="1"/>
        <v>2.571428571</v>
      </c>
      <c r="G15" s="11">
        <v>91.0</v>
      </c>
      <c r="H15" s="11">
        <v>2.0</v>
      </c>
      <c r="I15" s="12">
        <f t="shared" si="2"/>
        <v>0.02197802198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1">
        <v>2.0</v>
      </c>
      <c r="D18" s="11">
        <v>2.0</v>
      </c>
      <c r="E18" s="11">
        <v>36.0</v>
      </c>
      <c r="F18" s="12">
        <f t="shared" si="1"/>
        <v>1</v>
      </c>
      <c r="G18" s="11">
        <v>36.0</v>
      </c>
      <c r="H18" s="11">
        <v>0.0</v>
      </c>
      <c r="I18" s="12">
        <f t="shared" si="2"/>
        <v>0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37</v>
      </c>
      <c r="D20" s="13">
        <f t="shared" si="3"/>
        <v>43</v>
      </c>
      <c r="E20" s="13">
        <f t="shared" si="3"/>
        <v>289</v>
      </c>
      <c r="F20" s="12">
        <f t="shared" si="1"/>
        <v>0.8604651163</v>
      </c>
      <c r="G20" s="13">
        <f t="shared" ref="G20:H20" si="4">SUM(G8:G19)</f>
        <v>289</v>
      </c>
      <c r="H20" s="13">
        <f t="shared" si="4"/>
        <v>2</v>
      </c>
      <c r="I20" s="12">
        <f t="shared" si="2"/>
        <v>0.006920415225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conditionalFormatting sqref="I8:I19">
    <cfRule type="notContainsBlanks" dxfId="0" priority="1">
      <formula>LEN(TRIM(I8))&gt;0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5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1">
        <v>50.0</v>
      </c>
      <c r="D8" s="11">
        <v>35.0</v>
      </c>
      <c r="E8" s="11">
        <v>85.0</v>
      </c>
      <c r="F8" s="12">
        <f t="shared" ref="F8:F20" si="1">C8/D8</f>
        <v>1.428571429</v>
      </c>
      <c r="G8" s="11">
        <v>85.0</v>
      </c>
      <c r="H8" s="11">
        <v>0.0</v>
      </c>
      <c r="I8" s="12">
        <f t="shared" ref="I8:I20" si="2">H8/G8</f>
        <v>0</v>
      </c>
    </row>
    <row r="9">
      <c r="A9" s="10">
        <v>2.0</v>
      </c>
      <c r="B9" s="11" t="s">
        <v>17</v>
      </c>
      <c r="C9" s="11">
        <v>0.0</v>
      </c>
      <c r="D9" s="11">
        <v>0.0</v>
      </c>
      <c r="E9" s="11">
        <v>3.0</v>
      </c>
      <c r="F9" s="12" t="str">
        <f t="shared" si="1"/>
        <v>#DIV/0!</v>
      </c>
      <c r="G9" s="11">
        <v>3.0</v>
      </c>
      <c r="H9" s="11">
        <v>0.0</v>
      </c>
      <c r="I9" s="12">
        <f t="shared" si="2"/>
        <v>0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1">
        <v>0.0</v>
      </c>
      <c r="D11" s="11">
        <v>1.0</v>
      </c>
      <c r="E11" s="11">
        <v>6.0</v>
      </c>
      <c r="F11" s="12">
        <f t="shared" si="1"/>
        <v>0</v>
      </c>
      <c r="G11" s="11">
        <v>6.0</v>
      </c>
      <c r="H11" s="11">
        <v>0.0</v>
      </c>
      <c r="I11" s="12">
        <f t="shared" si="2"/>
        <v>0</v>
      </c>
    </row>
    <row r="12">
      <c r="A12" s="10">
        <v>5.0</v>
      </c>
      <c r="B12" s="11" t="s">
        <v>20</v>
      </c>
      <c r="C12" s="11">
        <v>0.0</v>
      </c>
      <c r="D12" s="11">
        <v>0.0</v>
      </c>
      <c r="E12" s="11">
        <v>2.0</v>
      </c>
      <c r="F12" s="12" t="str">
        <f t="shared" si="1"/>
        <v>#DIV/0!</v>
      </c>
      <c r="G12" s="11">
        <v>2.0</v>
      </c>
      <c r="H12" s="11">
        <v>0.0</v>
      </c>
      <c r="I12" s="12">
        <f t="shared" si="2"/>
        <v>0</v>
      </c>
    </row>
    <row r="13">
      <c r="A13" s="10">
        <v>6.0</v>
      </c>
      <c r="B13" s="11" t="s">
        <v>21</v>
      </c>
      <c r="C13" s="11">
        <v>0.0</v>
      </c>
      <c r="D13" s="11">
        <v>4.0</v>
      </c>
      <c r="E13" s="11">
        <v>92.0</v>
      </c>
      <c r="F13" s="12">
        <f t="shared" si="1"/>
        <v>0</v>
      </c>
      <c r="G13" s="11">
        <v>92.0</v>
      </c>
      <c r="H13" s="11">
        <v>1.0</v>
      </c>
      <c r="I13" s="12">
        <f t="shared" si="2"/>
        <v>0.01086956522</v>
      </c>
    </row>
    <row r="14">
      <c r="A14" s="10">
        <v>7.0</v>
      </c>
      <c r="B14" s="11" t="s">
        <v>22</v>
      </c>
      <c r="C14" s="11">
        <v>0.0</v>
      </c>
      <c r="D14" s="11">
        <v>1.0</v>
      </c>
      <c r="E14" s="11">
        <v>22.0</v>
      </c>
      <c r="F14" s="12">
        <f t="shared" si="1"/>
        <v>0</v>
      </c>
      <c r="G14" s="11">
        <v>22.0</v>
      </c>
      <c r="H14" s="11">
        <v>0.0</v>
      </c>
      <c r="I14" s="12">
        <f t="shared" si="2"/>
        <v>0</v>
      </c>
    </row>
    <row r="15">
      <c r="A15" s="10">
        <v>8.0</v>
      </c>
      <c r="B15" s="11" t="s">
        <v>23</v>
      </c>
      <c r="C15" s="11">
        <v>10.0</v>
      </c>
      <c r="D15" s="11">
        <v>8.0</v>
      </c>
      <c r="E15" s="11">
        <v>66.0</v>
      </c>
      <c r="F15" s="12">
        <f t="shared" si="1"/>
        <v>1.25</v>
      </c>
      <c r="G15" s="11">
        <v>66.0</v>
      </c>
      <c r="H15" s="11">
        <v>1.0</v>
      </c>
      <c r="I15" s="12">
        <f t="shared" si="2"/>
        <v>0.01515151515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1">
        <v>0.0</v>
      </c>
      <c r="D18" s="11">
        <v>1.0</v>
      </c>
      <c r="E18" s="11">
        <v>15.0</v>
      </c>
      <c r="F18" s="12">
        <f t="shared" si="1"/>
        <v>0</v>
      </c>
      <c r="G18" s="11">
        <v>15.0</v>
      </c>
      <c r="H18" s="11">
        <v>0.0</v>
      </c>
      <c r="I18" s="12">
        <f t="shared" si="2"/>
        <v>0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60</v>
      </c>
      <c r="D20" s="13">
        <f t="shared" si="3"/>
        <v>50</v>
      </c>
      <c r="E20" s="13">
        <f t="shared" si="3"/>
        <v>291</v>
      </c>
      <c r="F20" s="12">
        <f t="shared" si="1"/>
        <v>1.2</v>
      </c>
      <c r="G20" s="13">
        <f t="shared" ref="G20:H20" si="4">SUM(G8:G19)</f>
        <v>291</v>
      </c>
      <c r="H20" s="13">
        <f t="shared" si="4"/>
        <v>2</v>
      </c>
      <c r="I20" s="12">
        <f t="shared" si="2"/>
        <v>0.006872852234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1">
        <v>7.0</v>
      </c>
      <c r="D8" s="11">
        <v>6.0</v>
      </c>
      <c r="E8" s="11">
        <v>13.0</v>
      </c>
      <c r="F8" s="12">
        <f t="shared" ref="F8:F20" si="1">C8/D8</f>
        <v>1.166666667</v>
      </c>
      <c r="G8" s="11">
        <v>13.0</v>
      </c>
      <c r="H8" s="11">
        <v>0.0</v>
      </c>
      <c r="I8" s="12">
        <f t="shared" ref="I8:I20" si="2">H8/G8</f>
        <v>0</v>
      </c>
    </row>
    <row r="9">
      <c r="A9" s="10">
        <v>2.0</v>
      </c>
      <c r="B9" s="11" t="s">
        <v>17</v>
      </c>
      <c r="C9" s="11">
        <v>0.0</v>
      </c>
      <c r="D9" s="11">
        <v>4.0</v>
      </c>
      <c r="E9" s="11">
        <v>11.0</v>
      </c>
      <c r="F9" s="12">
        <f t="shared" si="1"/>
        <v>0</v>
      </c>
      <c r="G9" s="11">
        <v>11.0</v>
      </c>
      <c r="H9" s="11">
        <v>0.0</v>
      </c>
      <c r="I9" s="12">
        <f t="shared" si="2"/>
        <v>0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1">
        <v>1.0</v>
      </c>
      <c r="D11" s="11">
        <v>0.0</v>
      </c>
      <c r="E11" s="11">
        <v>5.0</v>
      </c>
      <c r="F11" s="12" t="str">
        <f t="shared" si="1"/>
        <v>#DIV/0!</v>
      </c>
      <c r="G11" s="11">
        <v>5.0</v>
      </c>
      <c r="H11" s="11">
        <v>0.0</v>
      </c>
      <c r="I11" s="12">
        <f t="shared" si="2"/>
        <v>0</v>
      </c>
    </row>
    <row r="12">
      <c r="A12" s="10">
        <v>5.0</v>
      </c>
      <c r="B12" s="11" t="s">
        <v>20</v>
      </c>
      <c r="C12" s="11">
        <v>0.0</v>
      </c>
      <c r="D12" s="11">
        <v>0.0</v>
      </c>
      <c r="E12" s="11">
        <v>4.0</v>
      </c>
      <c r="F12" s="12" t="str">
        <f t="shared" si="1"/>
        <v>#DIV/0!</v>
      </c>
      <c r="G12" s="11">
        <v>4.0</v>
      </c>
      <c r="H12" s="11">
        <v>0.0</v>
      </c>
      <c r="I12" s="12">
        <f t="shared" si="2"/>
        <v>0</v>
      </c>
    </row>
    <row r="13">
      <c r="A13" s="10">
        <v>6.0</v>
      </c>
      <c r="B13" s="11" t="s">
        <v>21</v>
      </c>
      <c r="C13" s="11">
        <v>14.0</v>
      </c>
      <c r="D13" s="11">
        <v>5.0</v>
      </c>
      <c r="E13" s="11">
        <v>120.0</v>
      </c>
      <c r="F13" s="12">
        <f t="shared" si="1"/>
        <v>2.8</v>
      </c>
      <c r="G13" s="11">
        <v>120.0</v>
      </c>
      <c r="H13" s="11">
        <v>2.0</v>
      </c>
      <c r="I13" s="12">
        <f t="shared" si="2"/>
        <v>0.01666666667</v>
      </c>
    </row>
    <row r="14">
      <c r="A14" s="10">
        <v>7.0</v>
      </c>
      <c r="B14" s="11" t="s">
        <v>22</v>
      </c>
      <c r="C14" s="11">
        <v>1.0</v>
      </c>
      <c r="D14" s="11">
        <v>3.0</v>
      </c>
      <c r="E14" s="11">
        <v>47.0</v>
      </c>
      <c r="F14" s="12">
        <f t="shared" si="1"/>
        <v>0.3333333333</v>
      </c>
      <c r="G14" s="11">
        <v>47.0</v>
      </c>
      <c r="H14" s="11">
        <v>1.0</v>
      </c>
      <c r="I14" s="12">
        <f t="shared" si="2"/>
        <v>0.02127659574</v>
      </c>
    </row>
    <row r="15">
      <c r="A15" s="10">
        <v>8.0</v>
      </c>
      <c r="B15" s="11" t="s">
        <v>23</v>
      </c>
      <c r="C15" s="10">
        <v>16.0</v>
      </c>
      <c r="D15" s="10">
        <v>7.0</v>
      </c>
      <c r="E15" s="10">
        <v>72.0</v>
      </c>
      <c r="F15" s="12">
        <f t="shared" si="1"/>
        <v>2.285714286</v>
      </c>
      <c r="G15" s="10">
        <v>72.0</v>
      </c>
      <c r="H15" s="10">
        <v>2.0</v>
      </c>
      <c r="I15" s="12">
        <f t="shared" si="2"/>
        <v>0.02777777778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1">
        <v>5.0</v>
      </c>
      <c r="D18" s="11">
        <v>5.0</v>
      </c>
      <c r="E18" s="11">
        <v>40.0</v>
      </c>
      <c r="F18" s="12">
        <f t="shared" si="1"/>
        <v>1</v>
      </c>
      <c r="G18" s="11">
        <v>40.0</v>
      </c>
      <c r="H18" s="11">
        <v>0.0</v>
      </c>
      <c r="I18" s="12">
        <f t="shared" si="2"/>
        <v>0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44</v>
      </c>
      <c r="D20" s="13">
        <f t="shared" si="3"/>
        <v>30</v>
      </c>
      <c r="E20" s="13">
        <f t="shared" si="3"/>
        <v>312</v>
      </c>
      <c r="F20" s="12">
        <f t="shared" si="1"/>
        <v>1.466666667</v>
      </c>
      <c r="G20" s="13">
        <f t="shared" ref="G20:H20" si="4">SUM(G8:G19)</f>
        <v>312</v>
      </c>
      <c r="H20" s="13">
        <f t="shared" si="4"/>
        <v>5</v>
      </c>
      <c r="I20" s="12">
        <f t="shared" si="2"/>
        <v>0.01602564103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29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1">
        <v>13.0</v>
      </c>
      <c r="D8" s="11">
        <v>10.0</v>
      </c>
      <c r="E8" s="11">
        <v>23.0</v>
      </c>
      <c r="F8" s="12">
        <f t="shared" ref="F8:F20" si="1">C8/D8</f>
        <v>1.3</v>
      </c>
      <c r="G8" s="11">
        <v>23.0</v>
      </c>
      <c r="H8" s="11">
        <v>0.0</v>
      </c>
      <c r="I8" s="12">
        <f t="shared" ref="I8:I20" si="2">H8/G8</f>
        <v>0</v>
      </c>
    </row>
    <row r="9">
      <c r="A9" s="10">
        <v>2.0</v>
      </c>
      <c r="B9" s="11" t="s">
        <v>17</v>
      </c>
      <c r="C9" s="11">
        <v>0.0</v>
      </c>
      <c r="D9" s="11">
        <v>1.0</v>
      </c>
      <c r="E9" s="11">
        <v>8.0</v>
      </c>
      <c r="F9" s="12">
        <f t="shared" si="1"/>
        <v>0</v>
      </c>
      <c r="G9" s="11">
        <v>8.0</v>
      </c>
      <c r="H9" s="11">
        <v>1.0</v>
      </c>
      <c r="I9" s="12">
        <f t="shared" si="2"/>
        <v>0.125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1">
        <v>0.0</v>
      </c>
      <c r="D11" s="11">
        <v>0.0</v>
      </c>
      <c r="E11" s="11">
        <v>2.0</v>
      </c>
      <c r="F11" s="12" t="str">
        <f t="shared" si="1"/>
        <v>#DIV/0!</v>
      </c>
      <c r="G11" s="11">
        <v>2.0</v>
      </c>
      <c r="H11" s="11">
        <v>0.0</v>
      </c>
      <c r="I11" s="12">
        <f t="shared" si="2"/>
        <v>0</v>
      </c>
    </row>
    <row r="12">
      <c r="A12" s="10">
        <v>5.0</v>
      </c>
      <c r="B12" s="11" t="s">
        <v>20</v>
      </c>
      <c r="C12" s="11">
        <v>0.0</v>
      </c>
      <c r="D12" s="11">
        <v>0.0</v>
      </c>
      <c r="E12" s="11">
        <v>2.0</v>
      </c>
      <c r="F12" s="12" t="str">
        <f t="shared" si="1"/>
        <v>#DIV/0!</v>
      </c>
      <c r="G12" s="11">
        <v>2.0</v>
      </c>
      <c r="H12" s="11">
        <v>0.0</v>
      </c>
      <c r="I12" s="12">
        <f t="shared" si="2"/>
        <v>0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1">
        <v>0.0</v>
      </c>
      <c r="D14" s="11">
        <v>2.0</v>
      </c>
      <c r="E14" s="11">
        <v>31.0</v>
      </c>
      <c r="F14" s="12">
        <f t="shared" si="1"/>
        <v>0</v>
      </c>
      <c r="G14" s="11">
        <v>31.0</v>
      </c>
      <c r="H14" s="11">
        <v>1.0</v>
      </c>
      <c r="I14" s="12">
        <f t="shared" si="2"/>
        <v>0.03225806452</v>
      </c>
    </row>
    <row r="15">
      <c r="A15" s="10">
        <v>8.0</v>
      </c>
      <c r="B15" s="11" t="s">
        <v>23</v>
      </c>
      <c r="C15" s="11">
        <v>16.0</v>
      </c>
      <c r="D15" s="11">
        <v>7.0</v>
      </c>
      <c r="E15" s="11">
        <v>109.0</v>
      </c>
      <c r="F15" s="12">
        <f t="shared" si="1"/>
        <v>2.285714286</v>
      </c>
      <c r="G15" s="11">
        <v>109.0</v>
      </c>
      <c r="H15" s="11">
        <v>1.0</v>
      </c>
      <c r="I15" s="12">
        <f t="shared" si="2"/>
        <v>0.009174311927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1">
        <v>0.0</v>
      </c>
      <c r="D18" s="11">
        <v>1.0</v>
      </c>
      <c r="E18" s="11">
        <v>32.0</v>
      </c>
      <c r="F18" s="12">
        <f t="shared" si="1"/>
        <v>0</v>
      </c>
      <c r="G18" s="11">
        <v>32.0</v>
      </c>
      <c r="H18" s="11">
        <v>0.0</v>
      </c>
      <c r="I18" s="12">
        <f t="shared" si="2"/>
        <v>0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29</v>
      </c>
      <c r="D20" s="13">
        <f t="shared" si="3"/>
        <v>21</v>
      </c>
      <c r="E20" s="13">
        <f t="shared" si="3"/>
        <v>207</v>
      </c>
      <c r="F20" s="12">
        <f t="shared" si="1"/>
        <v>1.380952381</v>
      </c>
      <c r="G20" s="13">
        <f t="shared" ref="G20:H20" si="4">SUM(G8:G19)</f>
        <v>207</v>
      </c>
      <c r="H20" s="13">
        <f t="shared" si="4"/>
        <v>3</v>
      </c>
      <c r="I20" s="12">
        <f t="shared" si="2"/>
        <v>0.01449275362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30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1">
        <v>3.0</v>
      </c>
      <c r="D8" s="11">
        <v>14.0</v>
      </c>
      <c r="E8" s="11">
        <v>17.0</v>
      </c>
      <c r="F8" s="12">
        <f t="shared" ref="F8:F20" si="1">C8/D8</f>
        <v>0.2142857143</v>
      </c>
      <c r="G8" s="11">
        <v>17.0</v>
      </c>
      <c r="H8" s="11">
        <v>1.0</v>
      </c>
      <c r="I8" s="12">
        <f t="shared" ref="I8:I20" si="2">H8/G8</f>
        <v>0.05882352941</v>
      </c>
    </row>
    <row r="9">
      <c r="A9" s="10">
        <v>2.0</v>
      </c>
      <c r="B9" s="11" t="s">
        <v>17</v>
      </c>
      <c r="C9" s="12"/>
      <c r="D9" s="12"/>
      <c r="E9" s="12"/>
      <c r="F9" s="12" t="str">
        <f t="shared" si="1"/>
        <v>#DIV/0!</v>
      </c>
      <c r="G9" s="12"/>
      <c r="H9" s="12"/>
      <c r="I9" s="12" t="str">
        <f t="shared" si="2"/>
        <v>#DIV/0!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2"/>
      <c r="D11" s="12"/>
      <c r="E11" s="12"/>
      <c r="F11" s="12" t="str">
        <f t="shared" si="1"/>
        <v>#DIV/0!</v>
      </c>
      <c r="G11" s="12"/>
      <c r="H11" s="12"/>
      <c r="I11" s="12" t="str">
        <f t="shared" si="2"/>
        <v>#DIV/0!</v>
      </c>
    </row>
    <row r="12">
      <c r="A12" s="10">
        <v>5.0</v>
      </c>
      <c r="B12" s="11" t="s">
        <v>20</v>
      </c>
      <c r="C12" s="12"/>
      <c r="D12" s="12"/>
      <c r="E12" s="12"/>
      <c r="F12" s="12" t="str">
        <f t="shared" si="1"/>
        <v>#DIV/0!</v>
      </c>
      <c r="G12" s="12"/>
      <c r="H12" s="12"/>
      <c r="I12" s="12" t="str">
        <f t="shared" si="2"/>
        <v>#DIV/0!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2"/>
      <c r="D14" s="12"/>
      <c r="E14" s="12"/>
      <c r="F14" s="12" t="str">
        <f t="shared" si="1"/>
        <v>#DIV/0!</v>
      </c>
      <c r="G14" s="12"/>
      <c r="H14" s="12"/>
      <c r="I14" s="12" t="str">
        <f t="shared" si="2"/>
        <v>#DIV/0!</v>
      </c>
    </row>
    <row r="15">
      <c r="A15" s="10">
        <v>8.0</v>
      </c>
      <c r="B15" s="11" t="s">
        <v>23</v>
      </c>
      <c r="C15" s="11">
        <v>16.0</v>
      </c>
      <c r="D15" s="11">
        <v>10.0</v>
      </c>
      <c r="E15" s="11">
        <v>71.0</v>
      </c>
      <c r="F15" s="12">
        <f t="shared" si="1"/>
        <v>1.6</v>
      </c>
      <c r="G15" s="11">
        <v>71.0</v>
      </c>
      <c r="H15" s="11">
        <v>4.0</v>
      </c>
      <c r="I15" s="12">
        <f t="shared" si="2"/>
        <v>0.05633802817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1">
        <v>0.0</v>
      </c>
      <c r="D18" s="11">
        <v>1.0</v>
      </c>
      <c r="E18" s="11">
        <v>19.0</v>
      </c>
      <c r="F18" s="12">
        <f t="shared" si="1"/>
        <v>0</v>
      </c>
      <c r="G18" s="11">
        <v>17.0</v>
      </c>
      <c r="H18" s="12"/>
      <c r="I18" s="12">
        <f t="shared" si="2"/>
        <v>0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19</v>
      </c>
      <c r="D20" s="13">
        <f t="shared" si="3"/>
        <v>25</v>
      </c>
      <c r="E20" s="13">
        <f t="shared" si="3"/>
        <v>107</v>
      </c>
      <c r="F20" s="12">
        <f t="shared" si="1"/>
        <v>0.76</v>
      </c>
      <c r="G20" s="13">
        <f t="shared" ref="G20:H20" si="4">SUM(G8:G19)</f>
        <v>105</v>
      </c>
      <c r="H20" s="13">
        <f t="shared" si="4"/>
        <v>5</v>
      </c>
      <c r="I20" s="12">
        <f t="shared" si="2"/>
        <v>0.04761904762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31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2"/>
      <c r="D8" s="12"/>
      <c r="E8" s="12"/>
      <c r="F8" s="12" t="str">
        <f t="shared" ref="F8:F20" si="1">C8/D8</f>
        <v>#DIV/0!</v>
      </c>
      <c r="G8" s="12"/>
      <c r="H8" s="12"/>
      <c r="I8" s="12" t="str">
        <f t="shared" ref="I8:I20" si="2">H8/G8</f>
        <v>#DIV/0!</v>
      </c>
    </row>
    <row r="9">
      <c r="A9" s="10">
        <v>2.0</v>
      </c>
      <c r="B9" s="11" t="s">
        <v>17</v>
      </c>
      <c r="C9" s="12"/>
      <c r="D9" s="12"/>
      <c r="E9" s="12"/>
      <c r="F9" s="12" t="str">
        <f t="shared" si="1"/>
        <v>#DIV/0!</v>
      </c>
      <c r="G9" s="12"/>
      <c r="H9" s="12"/>
      <c r="I9" s="12" t="str">
        <f t="shared" si="2"/>
        <v>#DIV/0!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2"/>
      <c r="D11" s="12"/>
      <c r="E11" s="12"/>
      <c r="F11" s="12" t="str">
        <f t="shared" si="1"/>
        <v>#DIV/0!</v>
      </c>
      <c r="G11" s="12"/>
      <c r="H11" s="12"/>
      <c r="I11" s="12" t="str">
        <f t="shared" si="2"/>
        <v>#DIV/0!</v>
      </c>
    </row>
    <row r="12">
      <c r="A12" s="10">
        <v>5.0</v>
      </c>
      <c r="B12" s="11" t="s">
        <v>20</v>
      </c>
      <c r="C12" s="12"/>
      <c r="D12" s="12"/>
      <c r="E12" s="12"/>
      <c r="F12" s="12" t="str">
        <f t="shared" si="1"/>
        <v>#DIV/0!</v>
      </c>
      <c r="G12" s="12"/>
      <c r="H12" s="12"/>
      <c r="I12" s="12" t="str">
        <f t="shared" si="2"/>
        <v>#DIV/0!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2"/>
      <c r="D14" s="12"/>
      <c r="E14" s="12"/>
      <c r="F14" s="12" t="str">
        <f t="shared" si="1"/>
        <v>#DIV/0!</v>
      </c>
      <c r="G14" s="12"/>
      <c r="H14" s="12"/>
      <c r="I14" s="12" t="str">
        <f t="shared" si="2"/>
        <v>#DIV/0!</v>
      </c>
    </row>
    <row r="15">
      <c r="A15" s="10">
        <v>8.0</v>
      </c>
      <c r="B15" s="11" t="s">
        <v>23</v>
      </c>
      <c r="C15" s="11">
        <v>10.0</v>
      </c>
      <c r="D15" s="11">
        <v>2.0</v>
      </c>
      <c r="E15" s="11">
        <v>103.0</v>
      </c>
      <c r="F15" s="12">
        <f t="shared" si="1"/>
        <v>5</v>
      </c>
      <c r="G15" s="11">
        <v>103.0</v>
      </c>
      <c r="H15" s="11">
        <v>8.0</v>
      </c>
      <c r="I15" s="12">
        <f t="shared" si="2"/>
        <v>0.07766990291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2"/>
      <c r="D18" s="12"/>
      <c r="E18" s="12"/>
      <c r="F18" s="12" t="str">
        <f t="shared" si="1"/>
        <v>#DIV/0!</v>
      </c>
      <c r="G18" s="12"/>
      <c r="H18" s="12"/>
      <c r="I18" s="12" t="str">
        <f t="shared" si="2"/>
        <v>#DIV/0!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10</v>
      </c>
      <c r="D20" s="13">
        <f t="shared" si="3"/>
        <v>2</v>
      </c>
      <c r="E20" s="13">
        <f t="shared" si="3"/>
        <v>103</v>
      </c>
      <c r="F20" s="12">
        <f t="shared" si="1"/>
        <v>5</v>
      </c>
      <c r="G20" s="13">
        <f t="shared" ref="G20:H20" si="4">SUM(G8:G19)</f>
        <v>103</v>
      </c>
      <c r="H20" s="13">
        <f t="shared" si="4"/>
        <v>8</v>
      </c>
      <c r="I20" s="12">
        <f t="shared" si="2"/>
        <v>0.07766990291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32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2"/>
      <c r="D8" s="12"/>
      <c r="E8" s="12"/>
      <c r="F8" s="12" t="str">
        <f t="shared" ref="F8:F20" si="1">C8/D8</f>
        <v>#DIV/0!</v>
      </c>
      <c r="G8" s="12"/>
      <c r="H8" s="12"/>
      <c r="I8" s="12" t="str">
        <f t="shared" ref="I8:I20" si="2">H8/G8</f>
        <v>#DIV/0!</v>
      </c>
    </row>
    <row r="9">
      <c r="A9" s="10">
        <v>2.0</v>
      </c>
      <c r="B9" s="11" t="s">
        <v>17</v>
      </c>
      <c r="C9" s="12"/>
      <c r="D9" s="12"/>
      <c r="E9" s="12"/>
      <c r="F9" s="12" t="str">
        <f t="shared" si="1"/>
        <v>#DIV/0!</v>
      </c>
      <c r="G9" s="12"/>
      <c r="H9" s="12"/>
      <c r="I9" s="12" t="str">
        <f t="shared" si="2"/>
        <v>#DIV/0!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2"/>
      <c r="D11" s="12"/>
      <c r="E11" s="12"/>
      <c r="F11" s="12" t="str">
        <f t="shared" si="1"/>
        <v>#DIV/0!</v>
      </c>
      <c r="G11" s="12"/>
      <c r="H11" s="12"/>
      <c r="I11" s="12" t="str">
        <f t="shared" si="2"/>
        <v>#DIV/0!</v>
      </c>
    </row>
    <row r="12">
      <c r="A12" s="10">
        <v>5.0</v>
      </c>
      <c r="B12" s="11" t="s">
        <v>20</v>
      </c>
      <c r="C12" s="12"/>
      <c r="D12" s="12"/>
      <c r="E12" s="12"/>
      <c r="F12" s="12" t="str">
        <f t="shared" si="1"/>
        <v>#DIV/0!</v>
      </c>
      <c r="G12" s="12"/>
      <c r="H12" s="12"/>
      <c r="I12" s="12" t="str">
        <f t="shared" si="2"/>
        <v>#DIV/0!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2"/>
      <c r="D14" s="12"/>
      <c r="E14" s="12"/>
      <c r="F14" s="12" t="str">
        <f t="shared" si="1"/>
        <v>#DIV/0!</v>
      </c>
      <c r="G14" s="12"/>
      <c r="H14" s="12"/>
      <c r="I14" s="12" t="str">
        <f t="shared" si="2"/>
        <v>#DIV/0!</v>
      </c>
    </row>
    <row r="15">
      <c r="A15" s="10">
        <v>8.0</v>
      </c>
      <c r="B15" s="11" t="s">
        <v>23</v>
      </c>
      <c r="C15" s="12"/>
      <c r="D15" s="12"/>
      <c r="E15" s="12"/>
      <c r="F15" s="12" t="str">
        <f t="shared" si="1"/>
        <v>#DIV/0!</v>
      </c>
      <c r="G15" s="12"/>
      <c r="H15" s="12"/>
      <c r="I15" s="12" t="str">
        <f t="shared" si="2"/>
        <v>#DIV/0!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2"/>
      <c r="D18" s="12"/>
      <c r="E18" s="12"/>
      <c r="F18" s="12" t="str">
        <f t="shared" si="1"/>
        <v>#DIV/0!</v>
      </c>
      <c r="G18" s="12"/>
      <c r="H18" s="12"/>
      <c r="I18" s="12" t="str">
        <f t="shared" si="2"/>
        <v>#DIV/0!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0</v>
      </c>
      <c r="D20" s="13">
        <f t="shared" si="3"/>
        <v>0</v>
      </c>
      <c r="E20" s="13">
        <f t="shared" si="3"/>
        <v>0</v>
      </c>
      <c r="F20" s="12" t="str">
        <f t="shared" si="1"/>
        <v>#DIV/0!</v>
      </c>
      <c r="G20" s="13">
        <f t="shared" ref="G20:H20" si="4">SUM(G8:G19)</f>
        <v>0</v>
      </c>
      <c r="H20" s="13">
        <f t="shared" si="4"/>
        <v>0</v>
      </c>
      <c r="I20" s="12" t="str">
        <f t="shared" si="2"/>
        <v>#DIV/0!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33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2"/>
      <c r="D8" s="12"/>
      <c r="E8" s="12"/>
      <c r="F8" s="12" t="str">
        <f t="shared" ref="F8:F20" si="1">C8/D8</f>
        <v>#DIV/0!</v>
      </c>
      <c r="G8" s="12"/>
      <c r="H8" s="12"/>
      <c r="I8" s="12" t="str">
        <f t="shared" ref="I8:I20" si="2">H8/G8</f>
        <v>#DIV/0!</v>
      </c>
    </row>
    <row r="9">
      <c r="A9" s="10">
        <v>2.0</v>
      </c>
      <c r="B9" s="11" t="s">
        <v>17</v>
      </c>
      <c r="C9" s="12"/>
      <c r="D9" s="12"/>
      <c r="E9" s="12"/>
      <c r="F9" s="12" t="str">
        <f t="shared" si="1"/>
        <v>#DIV/0!</v>
      </c>
      <c r="G9" s="12"/>
      <c r="H9" s="12"/>
      <c r="I9" s="12" t="str">
        <f t="shared" si="2"/>
        <v>#DIV/0!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2"/>
      <c r="D11" s="12"/>
      <c r="E11" s="12"/>
      <c r="F11" s="12" t="str">
        <f t="shared" si="1"/>
        <v>#DIV/0!</v>
      </c>
      <c r="G11" s="12"/>
      <c r="H11" s="12"/>
      <c r="I11" s="12" t="str">
        <f t="shared" si="2"/>
        <v>#DIV/0!</v>
      </c>
    </row>
    <row r="12">
      <c r="A12" s="10">
        <v>5.0</v>
      </c>
      <c r="B12" s="11" t="s">
        <v>20</v>
      </c>
      <c r="C12" s="12"/>
      <c r="D12" s="12"/>
      <c r="E12" s="12"/>
      <c r="F12" s="12" t="str">
        <f t="shared" si="1"/>
        <v>#DIV/0!</v>
      </c>
      <c r="G12" s="12"/>
      <c r="H12" s="12"/>
      <c r="I12" s="12" t="str">
        <f t="shared" si="2"/>
        <v>#DIV/0!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2"/>
      <c r="D14" s="12"/>
      <c r="E14" s="12"/>
      <c r="F14" s="12" t="str">
        <f t="shared" si="1"/>
        <v>#DIV/0!</v>
      </c>
      <c r="G14" s="12"/>
      <c r="H14" s="12"/>
      <c r="I14" s="12" t="str">
        <f t="shared" si="2"/>
        <v>#DIV/0!</v>
      </c>
    </row>
    <row r="15">
      <c r="A15" s="10">
        <v>8.0</v>
      </c>
      <c r="B15" s="11" t="s">
        <v>23</v>
      </c>
      <c r="C15" s="12"/>
      <c r="D15" s="12"/>
      <c r="E15" s="12"/>
      <c r="F15" s="12" t="str">
        <f t="shared" si="1"/>
        <v>#DIV/0!</v>
      </c>
      <c r="G15" s="12"/>
      <c r="H15" s="12"/>
      <c r="I15" s="12" t="str">
        <f t="shared" si="2"/>
        <v>#DIV/0!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2"/>
      <c r="D18" s="12"/>
      <c r="E18" s="12"/>
      <c r="F18" s="12" t="str">
        <f t="shared" si="1"/>
        <v>#DIV/0!</v>
      </c>
      <c r="G18" s="12"/>
      <c r="H18" s="12"/>
      <c r="I18" s="12" t="str">
        <f t="shared" si="2"/>
        <v>#DIV/0!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0</v>
      </c>
      <c r="D20" s="13">
        <f t="shared" si="3"/>
        <v>0</v>
      </c>
      <c r="E20" s="13">
        <f t="shared" si="3"/>
        <v>0</v>
      </c>
      <c r="F20" s="12" t="str">
        <f t="shared" si="1"/>
        <v>#DIV/0!</v>
      </c>
      <c r="G20" s="13">
        <f t="shared" ref="G20:H20" si="4">SUM(G8:G19)</f>
        <v>0</v>
      </c>
      <c r="H20" s="13">
        <f t="shared" si="4"/>
        <v>0</v>
      </c>
      <c r="I20" s="12" t="str">
        <f t="shared" si="2"/>
        <v>#DIV/0!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34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2"/>
      <c r="D8" s="12"/>
      <c r="E8" s="12"/>
      <c r="F8" s="12" t="str">
        <f t="shared" ref="F8:F20" si="1">C8/D8</f>
        <v>#DIV/0!</v>
      </c>
      <c r="G8" s="12"/>
      <c r="H8" s="12"/>
      <c r="I8" s="12" t="str">
        <f t="shared" ref="I8:I20" si="2">H8/G8</f>
        <v>#DIV/0!</v>
      </c>
    </row>
    <row r="9">
      <c r="A9" s="10">
        <v>2.0</v>
      </c>
      <c r="B9" s="11" t="s">
        <v>17</v>
      </c>
      <c r="C9" s="12"/>
      <c r="D9" s="12"/>
      <c r="E9" s="12"/>
      <c r="F9" s="12" t="str">
        <f t="shared" si="1"/>
        <v>#DIV/0!</v>
      </c>
      <c r="G9" s="12"/>
      <c r="H9" s="12"/>
      <c r="I9" s="12" t="str">
        <f t="shared" si="2"/>
        <v>#DIV/0!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2"/>
      <c r="D11" s="12"/>
      <c r="E11" s="12"/>
      <c r="F11" s="12" t="str">
        <f t="shared" si="1"/>
        <v>#DIV/0!</v>
      </c>
      <c r="G11" s="12"/>
      <c r="H11" s="12"/>
      <c r="I11" s="12" t="str">
        <f t="shared" si="2"/>
        <v>#DIV/0!</v>
      </c>
    </row>
    <row r="12">
      <c r="A12" s="10">
        <v>5.0</v>
      </c>
      <c r="B12" s="11" t="s">
        <v>20</v>
      </c>
      <c r="C12" s="12"/>
      <c r="D12" s="12"/>
      <c r="E12" s="12"/>
      <c r="F12" s="12" t="str">
        <f t="shared" si="1"/>
        <v>#DIV/0!</v>
      </c>
      <c r="G12" s="12"/>
      <c r="H12" s="12"/>
      <c r="I12" s="12" t="str">
        <f t="shared" si="2"/>
        <v>#DIV/0!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2"/>
      <c r="D14" s="12"/>
      <c r="E14" s="12"/>
      <c r="F14" s="12" t="str">
        <f t="shared" si="1"/>
        <v>#DIV/0!</v>
      </c>
      <c r="G14" s="12"/>
      <c r="H14" s="12"/>
      <c r="I14" s="12" t="str">
        <f t="shared" si="2"/>
        <v>#DIV/0!</v>
      </c>
    </row>
    <row r="15">
      <c r="A15" s="10">
        <v>8.0</v>
      </c>
      <c r="B15" s="11" t="s">
        <v>23</v>
      </c>
      <c r="C15" s="12"/>
      <c r="D15" s="12"/>
      <c r="E15" s="12"/>
      <c r="F15" s="12" t="str">
        <f t="shared" si="1"/>
        <v>#DIV/0!</v>
      </c>
      <c r="G15" s="12"/>
      <c r="H15" s="12"/>
      <c r="I15" s="12" t="str">
        <f t="shared" si="2"/>
        <v>#DIV/0!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2"/>
      <c r="D18" s="12"/>
      <c r="E18" s="12"/>
      <c r="F18" s="12" t="str">
        <f t="shared" si="1"/>
        <v>#DIV/0!</v>
      </c>
      <c r="G18" s="12"/>
      <c r="H18" s="12"/>
      <c r="I18" s="12" t="str">
        <f t="shared" si="2"/>
        <v>#DIV/0!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0</v>
      </c>
      <c r="D20" s="13">
        <f t="shared" si="3"/>
        <v>0</v>
      </c>
      <c r="E20" s="13">
        <f t="shared" si="3"/>
        <v>0</v>
      </c>
      <c r="F20" s="12" t="str">
        <f t="shared" si="1"/>
        <v>#DIV/0!</v>
      </c>
      <c r="G20" s="13">
        <f t="shared" ref="G20:H20" si="4">SUM(G8:G19)</f>
        <v>0</v>
      </c>
      <c r="H20" s="13">
        <f t="shared" si="4"/>
        <v>0</v>
      </c>
      <c r="I20" s="12" t="str">
        <f t="shared" si="2"/>
        <v>#DIV/0!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35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2"/>
      <c r="D8" s="12"/>
      <c r="E8" s="12"/>
      <c r="F8" s="12" t="str">
        <f t="shared" ref="F8:F20" si="1">C8/D8</f>
        <v>#DIV/0!</v>
      </c>
      <c r="G8" s="12"/>
      <c r="H8" s="12"/>
      <c r="I8" s="12" t="str">
        <f t="shared" ref="I8:I20" si="2">H8/G8</f>
        <v>#DIV/0!</v>
      </c>
    </row>
    <row r="9">
      <c r="A9" s="10">
        <v>2.0</v>
      </c>
      <c r="B9" s="11" t="s">
        <v>17</v>
      </c>
      <c r="C9" s="12"/>
      <c r="D9" s="12"/>
      <c r="E9" s="12"/>
      <c r="F9" s="12" t="str">
        <f t="shared" si="1"/>
        <v>#DIV/0!</v>
      </c>
      <c r="G9" s="12"/>
      <c r="H9" s="12"/>
      <c r="I9" s="12" t="str">
        <f t="shared" si="2"/>
        <v>#DIV/0!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2"/>
      <c r="D11" s="12"/>
      <c r="E11" s="12"/>
      <c r="F11" s="12" t="str">
        <f t="shared" si="1"/>
        <v>#DIV/0!</v>
      </c>
      <c r="G11" s="12"/>
      <c r="H11" s="12"/>
      <c r="I11" s="12" t="str">
        <f t="shared" si="2"/>
        <v>#DIV/0!</v>
      </c>
    </row>
    <row r="12">
      <c r="A12" s="10">
        <v>5.0</v>
      </c>
      <c r="B12" s="11" t="s">
        <v>20</v>
      </c>
      <c r="C12" s="12"/>
      <c r="D12" s="12"/>
      <c r="E12" s="12"/>
      <c r="F12" s="12" t="str">
        <f t="shared" si="1"/>
        <v>#DIV/0!</v>
      </c>
      <c r="G12" s="12"/>
      <c r="H12" s="12"/>
      <c r="I12" s="12" t="str">
        <f t="shared" si="2"/>
        <v>#DIV/0!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2"/>
      <c r="D14" s="12"/>
      <c r="E14" s="12"/>
      <c r="F14" s="12" t="str">
        <f t="shared" si="1"/>
        <v>#DIV/0!</v>
      </c>
      <c r="G14" s="12"/>
      <c r="H14" s="12"/>
      <c r="I14" s="12" t="str">
        <f t="shared" si="2"/>
        <v>#DIV/0!</v>
      </c>
    </row>
    <row r="15">
      <c r="A15" s="10">
        <v>8.0</v>
      </c>
      <c r="B15" s="11" t="s">
        <v>23</v>
      </c>
      <c r="C15" s="12"/>
      <c r="D15" s="12"/>
      <c r="E15" s="12"/>
      <c r="F15" s="12" t="str">
        <f t="shared" si="1"/>
        <v>#DIV/0!</v>
      </c>
      <c r="G15" s="12"/>
      <c r="H15" s="12"/>
      <c r="I15" s="12" t="str">
        <f t="shared" si="2"/>
        <v>#DIV/0!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2"/>
      <c r="D18" s="12"/>
      <c r="E18" s="12"/>
      <c r="F18" s="12" t="str">
        <f t="shared" si="1"/>
        <v>#DIV/0!</v>
      </c>
      <c r="G18" s="12"/>
      <c r="H18" s="12"/>
      <c r="I18" s="12" t="str">
        <f t="shared" si="2"/>
        <v>#DIV/0!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0</v>
      </c>
      <c r="D20" s="13">
        <f t="shared" si="3"/>
        <v>0</v>
      </c>
      <c r="E20" s="13">
        <f t="shared" si="3"/>
        <v>0</v>
      </c>
      <c r="F20" s="12" t="str">
        <f t="shared" si="1"/>
        <v>#DIV/0!</v>
      </c>
      <c r="G20" s="13">
        <f t="shared" ref="G20:H20" si="4">SUM(G8:G19)</f>
        <v>0</v>
      </c>
      <c r="H20" s="13">
        <f t="shared" si="4"/>
        <v>0</v>
      </c>
      <c r="I20" s="12" t="str">
        <f t="shared" si="2"/>
        <v>#DIV/0!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36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2"/>
      <c r="D8" s="12"/>
      <c r="E8" s="12"/>
      <c r="F8" s="12" t="str">
        <f t="shared" ref="F8:F20" si="1">C8/D8</f>
        <v>#DIV/0!</v>
      </c>
      <c r="G8" s="12"/>
      <c r="H8" s="12"/>
      <c r="I8" s="12" t="str">
        <f t="shared" ref="I8:I20" si="2">H8/G8</f>
        <v>#DIV/0!</v>
      </c>
    </row>
    <row r="9">
      <c r="A9" s="10">
        <v>2.0</v>
      </c>
      <c r="B9" s="11" t="s">
        <v>17</v>
      </c>
      <c r="C9" s="12"/>
      <c r="D9" s="12"/>
      <c r="E9" s="12"/>
      <c r="F9" s="12" t="str">
        <f t="shared" si="1"/>
        <v>#DIV/0!</v>
      </c>
      <c r="G9" s="12"/>
      <c r="H9" s="12"/>
      <c r="I9" s="12" t="str">
        <f t="shared" si="2"/>
        <v>#DIV/0!</v>
      </c>
    </row>
    <row r="10">
      <c r="A10" s="10">
        <v>3.0</v>
      </c>
      <c r="B10" s="11" t="s">
        <v>18</v>
      </c>
      <c r="C10" s="12"/>
      <c r="D10" s="12"/>
      <c r="E10" s="12"/>
      <c r="F10" s="12" t="str">
        <f t="shared" si="1"/>
        <v>#DIV/0!</v>
      </c>
      <c r="G10" s="12"/>
      <c r="H10" s="12"/>
      <c r="I10" s="12" t="str">
        <f t="shared" si="2"/>
        <v>#DIV/0!</v>
      </c>
    </row>
    <row r="11">
      <c r="A11" s="10">
        <v>4.0</v>
      </c>
      <c r="B11" s="11" t="s">
        <v>19</v>
      </c>
      <c r="C11" s="12"/>
      <c r="D11" s="12"/>
      <c r="E11" s="12"/>
      <c r="F11" s="12" t="str">
        <f t="shared" si="1"/>
        <v>#DIV/0!</v>
      </c>
      <c r="G11" s="12"/>
      <c r="H11" s="12"/>
      <c r="I11" s="12" t="str">
        <f t="shared" si="2"/>
        <v>#DIV/0!</v>
      </c>
    </row>
    <row r="12">
      <c r="A12" s="10">
        <v>5.0</v>
      </c>
      <c r="B12" s="11" t="s">
        <v>20</v>
      </c>
      <c r="C12" s="12"/>
      <c r="D12" s="12"/>
      <c r="E12" s="12"/>
      <c r="F12" s="12" t="str">
        <f t="shared" si="1"/>
        <v>#DIV/0!</v>
      </c>
      <c r="G12" s="12"/>
      <c r="H12" s="12"/>
      <c r="I12" s="12" t="str">
        <f t="shared" si="2"/>
        <v>#DIV/0!</v>
      </c>
    </row>
    <row r="13">
      <c r="A13" s="10">
        <v>6.0</v>
      </c>
      <c r="B13" s="11" t="s">
        <v>21</v>
      </c>
      <c r="C13" s="12"/>
      <c r="D13" s="12"/>
      <c r="E13" s="12"/>
      <c r="F13" s="12" t="str">
        <f t="shared" si="1"/>
        <v>#DIV/0!</v>
      </c>
      <c r="G13" s="12"/>
      <c r="H13" s="12"/>
      <c r="I13" s="12" t="str">
        <f t="shared" si="2"/>
        <v>#DIV/0!</v>
      </c>
    </row>
    <row r="14">
      <c r="A14" s="10">
        <v>7.0</v>
      </c>
      <c r="B14" s="11" t="s">
        <v>22</v>
      </c>
      <c r="C14" s="12"/>
      <c r="D14" s="12"/>
      <c r="E14" s="12"/>
      <c r="F14" s="12" t="str">
        <f t="shared" si="1"/>
        <v>#DIV/0!</v>
      </c>
      <c r="G14" s="12"/>
      <c r="H14" s="12"/>
      <c r="I14" s="12" t="str">
        <f t="shared" si="2"/>
        <v>#DIV/0!</v>
      </c>
    </row>
    <row r="15">
      <c r="A15" s="10">
        <v>8.0</v>
      </c>
      <c r="B15" s="11" t="s">
        <v>23</v>
      </c>
      <c r="C15" s="12"/>
      <c r="D15" s="12"/>
      <c r="E15" s="12"/>
      <c r="F15" s="12" t="str">
        <f t="shared" si="1"/>
        <v>#DIV/0!</v>
      </c>
      <c r="G15" s="12"/>
      <c r="H15" s="12"/>
      <c r="I15" s="12" t="str">
        <f t="shared" si="2"/>
        <v>#DIV/0!</v>
      </c>
    </row>
    <row r="16">
      <c r="A16" s="10">
        <v>9.0</v>
      </c>
      <c r="B16" s="11" t="s">
        <v>24</v>
      </c>
      <c r="C16" s="12"/>
      <c r="D16" s="12"/>
      <c r="E16" s="12"/>
      <c r="F16" s="12" t="str">
        <f t="shared" si="1"/>
        <v>#DIV/0!</v>
      </c>
      <c r="G16" s="12"/>
      <c r="H16" s="12"/>
      <c r="I16" s="12" t="str">
        <f t="shared" si="2"/>
        <v>#DIV/0!</v>
      </c>
    </row>
    <row r="17">
      <c r="A17" s="10">
        <v>10.0</v>
      </c>
      <c r="B17" s="11" t="s">
        <v>25</v>
      </c>
      <c r="C17" s="12"/>
      <c r="D17" s="12"/>
      <c r="E17" s="12"/>
      <c r="F17" s="12" t="str">
        <f t="shared" si="1"/>
        <v>#DIV/0!</v>
      </c>
      <c r="G17" s="12"/>
      <c r="H17" s="12"/>
      <c r="I17" s="12" t="str">
        <f t="shared" si="2"/>
        <v>#DIV/0!</v>
      </c>
    </row>
    <row r="18">
      <c r="A18" s="10">
        <v>11.0</v>
      </c>
      <c r="B18" s="11" t="s">
        <v>26</v>
      </c>
      <c r="C18" s="12"/>
      <c r="D18" s="12"/>
      <c r="E18" s="12"/>
      <c r="F18" s="12" t="str">
        <f t="shared" si="1"/>
        <v>#DIV/0!</v>
      </c>
      <c r="G18" s="12"/>
      <c r="H18" s="12"/>
      <c r="I18" s="12" t="str">
        <f t="shared" si="2"/>
        <v>#DIV/0!</v>
      </c>
    </row>
    <row r="19">
      <c r="A19" s="10">
        <v>12.0</v>
      </c>
      <c r="B19" s="11" t="s">
        <v>27</v>
      </c>
      <c r="C19" s="12"/>
      <c r="D19" s="12"/>
      <c r="E19" s="12"/>
      <c r="F19" s="12" t="str">
        <f t="shared" si="1"/>
        <v>#DIV/0!</v>
      </c>
      <c r="G19" s="12"/>
      <c r="H19" s="12"/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0</v>
      </c>
      <c r="D20" s="13">
        <f t="shared" si="3"/>
        <v>0</v>
      </c>
      <c r="E20" s="13">
        <f t="shared" si="3"/>
        <v>0</v>
      </c>
      <c r="F20" s="12" t="str">
        <f t="shared" si="1"/>
        <v>#DIV/0!</v>
      </c>
      <c r="G20" s="13">
        <f t="shared" ref="G20:H20" si="4">SUM(G8:G19)</f>
        <v>0</v>
      </c>
      <c r="H20" s="13">
        <f t="shared" si="4"/>
        <v>0</v>
      </c>
      <c r="I20" s="12" t="str">
        <f t="shared" si="2"/>
        <v>#DIV/0!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22.63"/>
    <col customWidth="1" min="8" max="8" width="15.1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</row>
    <row r="3">
      <c r="A3" s="2" t="s">
        <v>1</v>
      </c>
    </row>
    <row r="4">
      <c r="A4" s="3" t="s">
        <v>36</v>
      </c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7"/>
    </row>
    <row r="7">
      <c r="A7" s="8"/>
      <c r="B7" s="8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</row>
    <row r="8">
      <c r="A8" s="10">
        <v>1.0</v>
      </c>
      <c r="B8" s="11" t="s">
        <v>16</v>
      </c>
      <c r="C8" s="12">
        <f>SUM(JANUARI!C8+FEBRUARI!C8+MARET!C8+APRIL!C8+MEI!C8+JUNI!C8+JULI!C8+AGUSTUS!C8+SEPTEMBER!C8+OKTOBER!C8+NOVEMBER!C8+DESEMBER!C8)</f>
        <v>124</v>
      </c>
      <c r="D8" s="12">
        <f>SUM(JANUARI!D8+FEBRUARI!D8+MARET!D8+APRIL!D8+MEI!D8+JUNI!D8+JULI!D8+AGUSTUS!D8+SEPTEMBER!D8+OKTOBER!D8+NOVEMBER!D8+DESEMBER!D8)</f>
        <v>127</v>
      </c>
      <c r="E8" s="12">
        <f>SUM(JANUARI!E8+FEBRUARI!E8+MARET!E8+APRIL!E8+MEI!E8+JUNI!E8+JULI!E8+AGUSTUS!E8+SEPTEMBER!E8+OKTOBER!E8+NOVEMBER!E8+DESEMBER!E8)</f>
        <v>251</v>
      </c>
      <c r="F8" s="12">
        <f t="shared" ref="F8:F20" si="1">C8/D8</f>
        <v>0.9763779528</v>
      </c>
      <c r="G8" s="12">
        <f>SUM(JANUARI!G8+FEBRUARI!G8+MARET!G8+APRIL!G8+MEI!G8+JUNI!G8+JULI!G8+AGUSTUS!G8+SEPTEMBER!G8+OKTOBER!G8+NOVEMBER!G8+DESEMBER!G8)</f>
        <v>251</v>
      </c>
      <c r="H8" s="12">
        <f>SUM(JANUARI!H8+FEBRUARI!H8+MARET!H8+APRIL!H8+MEI!H8+JUNI!H8+JULI!H8+AGUSTUS!H8+SEPTEMBER!H8+OKTOBER!H8+NOVEMBER!H8+DESEMBER!H8)</f>
        <v>1</v>
      </c>
      <c r="I8" s="12">
        <f t="shared" ref="I8:I20" si="2">H8/G8</f>
        <v>0.003984063745</v>
      </c>
    </row>
    <row r="9">
      <c r="A9" s="10">
        <v>2.0</v>
      </c>
      <c r="B9" s="11" t="s">
        <v>17</v>
      </c>
      <c r="C9" s="12">
        <f>SUM(JANUARI!C9+FEBRUARI!C9+MARET!C9+APRIL!C9+MEI!C9+JUNI!C9+JULI!C9+AGUSTUS!C9+SEPTEMBER!C9+OKTOBER!C9+NOVEMBER!C9+DESEMBER!C9)</f>
        <v>1</v>
      </c>
      <c r="D9" s="12">
        <f>SUM(JANUARI!D9+FEBRUARI!D9+MARET!D9+APRIL!D9+MEI!D9+JUNI!D9+JULI!D9+AGUSTUS!D9+SEPTEMBER!D9+OKTOBER!D9+NOVEMBER!D9+DESEMBER!D9)</f>
        <v>10</v>
      </c>
      <c r="E9" s="12">
        <f>SUM(JANUARI!E9+FEBRUARI!E9+MARET!E9+APRIL!E9+MEI!E9+JUNI!E9+JULI!E9+AGUSTUS!E9+SEPTEMBER!E9+OKTOBER!E9+NOVEMBER!E9+DESEMBER!E9)</f>
        <v>42</v>
      </c>
      <c r="F9" s="12">
        <f t="shared" si="1"/>
        <v>0.1</v>
      </c>
      <c r="G9" s="12">
        <f>SUM(JANUARI!G9+FEBRUARI!G9+MARET!G9+APRIL!G9+MEI!G9+JUNI!G9+JULI!G9+AGUSTUS!G9+SEPTEMBER!G9+OKTOBER!G9+NOVEMBER!G9+DESEMBER!G9)</f>
        <v>42</v>
      </c>
      <c r="H9" s="12">
        <f>SUM(JANUARI!H9+FEBRUARI!H9+MARET!H9+APRIL!H9+MEI!H9+JUNI!H9+JULI!H9+AGUSTUS!H9+SEPTEMBER!H9+OKTOBER!H9+NOVEMBER!H9+DESEMBER!H9)</f>
        <v>1</v>
      </c>
      <c r="I9" s="12">
        <f t="shared" si="2"/>
        <v>0.02380952381</v>
      </c>
    </row>
    <row r="10">
      <c r="A10" s="10">
        <v>3.0</v>
      </c>
      <c r="B10" s="11" t="s">
        <v>18</v>
      </c>
      <c r="C10" s="12">
        <f>SUM(JANUARI!C10+FEBRUARI!C10+MARET!C10+APRIL!C10+MEI!C10+JUNI!C10+JULI!C10+AGUSTUS!C10+SEPTEMBER!C10+OKTOBER!C10+NOVEMBER!C10+DESEMBER!C10)</f>
        <v>17</v>
      </c>
      <c r="D10" s="12">
        <f>SUM(JANUARI!D10+FEBRUARI!D10+MARET!D10+APRIL!D10+MEI!D10+JUNI!D10+JULI!D10+AGUSTUS!D10+SEPTEMBER!D10+OKTOBER!D10+NOVEMBER!D10+DESEMBER!D10)</f>
        <v>0</v>
      </c>
      <c r="E10" s="12">
        <f>SUM(JANUARI!E10+FEBRUARI!E10+MARET!E10+APRIL!E10+MEI!E10+JUNI!E10+JULI!E10+AGUSTUS!E10+SEPTEMBER!E10+OKTOBER!E10+NOVEMBER!E10+DESEMBER!E10)</f>
        <v>45</v>
      </c>
      <c r="F10" s="12" t="str">
        <f t="shared" si="1"/>
        <v>#DIV/0!</v>
      </c>
      <c r="G10" s="12">
        <f>SUM(JANUARI!G10+FEBRUARI!G10+MARET!G10+APRIL!G10+MEI!G10+JUNI!G10+JULI!G10+AGUSTUS!G10+SEPTEMBER!G10+OKTOBER!G10+NOVEMBER!G10+DESEMBER!G10)</f>
        <v>49</v>
      </c>
      <c r="H10" s="12">
        <f>SUM(JANUARI!H10+FEBRUARI!H10+MARET!H10+APRIL!H10+MEI!H10+JUNI!H10+JULI!H10+AGUSTUS!H10+SEPTEMBER!H10+OKTOBER!H10+NOVEMBER!H10+DESEMBER!H10)</f>
        <v>0</v>
      </c>
      <c r="I10" s="12">
        <f t="shared" si="2"/>
        <v>0</v>
      </c>
    </row>
    <row r="11">
      <c r="A11" s="10">
        <v>4.0</v>
      </c>
      <c r="B11" s="11" t="s">
        <v>19</v>
      </c>
      <c r="C11" s="12">
        <f>SUM(JANUARI!C11+FEBRUARI!C11+MARET!C11+APRIL!C11+MEI!C11+JUNI!C11+JULI!C11+AGUSTUS!C11+SEPTEMBER!C11+OKTOBER!C11+NOVEMBER!C11+DESEMBER!C11)</f>
        <v>1</v>
      </c>
      <c r="D11" s="12">
        <f>SUM(JANUARI!D11+FEBRUARI!D11+MARET!D11+APRIL!D11+MEI!D11+JUNI!D11+JULI!D11+AGUSTUS!D11+SEPTEMBER!D11+OKTOBER!D11+NOVEMBER!D11+DESEMBER!D11)</f>
        <v>1</v>
      </c>
      <c r="E11" s="12">
        <f>SUM(JANUARI!E11+FEBRUARI!E11+MARET!E11+APRIL!E11+MEI!E11+JUNI!E11+JULI!E11+AGUSTUS!E11+SEPTEMBER!E11+OKTOBER!E11+NOVEMBER!E11+DESEMBER!E11)</f>
        <v>16</v>
      </c>
      <c r="F11" s="12">
        <f t="shared" si="1"/>
        <v>1</v>
      </c>
      <c r="G11" s="12">
        <f>SUM(JANUARI!G11+FEBRUARI!G11+MARET!G11+APRIL!G11+MEI!G11+JUNI!G11+JULI!G11+AGUSTUS!G11+SEPTEMBER!G11+OKTOBER!G11+NOVEMBER!G11+DESEMBER!G11)</f>
        <v>16</v>
      </c>
      <c r="H11" s="12">
        <f>SUM(JANUARI!H11+FEBRUARI!H11+MARET!H11+APRIL!H11+MEI!H11+JUNI!H11+JULI!H11+AGUSTUS!H11+SEPTEMBER!H11+OKTOBER!H11+NOVEMBER!H11+DESEMBER!H11)</f>
        <v>0</v>
      </c>
      <c r="I11" s="12">
        <f t="shared" si="2"/>
        <v>0</v>
      </c>
    </row>
    <row r="12">
      <c r="A12" s="10">
        <v>5.0</v>
      </c>
      <c r="B12" s="11" t="s">
        <v>20</v>
      </c>
      <c r="C12" s="12">
        <f>SUM(JANUARI!C12+FEBRUARI!C12+MARET!C12+APRIL!C12+MEI!C12+JUNI!C12+JULI!C12+AGUSTUS!C12+SEPTEMBER!C12+OKTOBER!C12+NOVEMBER!C12+DESEMBER!C12)</f>
        <v>0</v>
      </c>
      <c r="D12" s="12">
        <f>SUM(JANUARI!D12+FEBRUARI!D12+MARET!D12+APRIL!D12+MEI!D12+JUNI!D12+JULI!D12+AGUSTUS!D12+SEPTEMBER!D12+OKTOBER!D12+NOVEMBER!D12+DESEMBER!D12)</f>
        <v>0</v>
      </c>
      <c r="E12" s="12">
        <f>SUM(JANUARI!E12+FEBRUARI!E12+MARET!E12+APRIL!E12+MEI!E12+JUNI!E12+JULI!E12+AGUSTUS!E12+SEPTEMBER!E12+OKTOBER!E12+NOVEMBER!E12+DESEMBER!E12)</f>
        <v>13</v>
      </c>
      <c r="F12" s="12" t="str">
        <f t="shared" si="1"/>
        <v>#DIV/0!</v>
      </c>
      <c r="G12" s="12">
        <f>SUM(JANUARI!G12+FEBRUARI!G12+MARET!G12+APRIL!G12+MEI!G12+JUNI!G12+JULI!G12+AGUSTUS!G12+SEPTEMBER!G12+OKTOBER!G12+NOVEMBER!G12+DESEMBER!G12)</f>
        <v>13</v>
      </c>
      <c r="H12" s="12">
        <f>SUM(JANUARI!H12+FEBRUARI!H12+MARET!H12+APRIL!H12+MEI!H12+JUNI!H12+JULI!H12+AGUSTUS!H12+SEPTEMBER!H12+OKTOBER!H12+NOVEMBER!H12+DESEMBER!H12)</f>
        <v>0</v>
      </c>
      <c r="I12" s="12">
        <f t="shared" si="2"/>
        <v>0</v>
      </c>
    </row>
    <row r="13">
      <c r="A13" s="10">
        <v>6.0</v>
      </c>
      <c r="B13" s="11" t="s">
        <v>21</v>
      </c>
      <c r="C13" s="12">
        <f>SUM(JANUARI!C13+FEBRUARI!C13+MARET!C13+APRIL!C13+MEI!C13+JUNI!C13+JULI!C13+AGUSTUS!C13+SEPTEMBER!C13+OKTOBER!C13+NOVEMBER!C13+DESEMBER!C13)</f>
        <v>20</v>
      </c>
      <c r="D13" s="12">
        <f>SUM(JANUARI!D13+FEBRUARI!D13+MARET!D13+APRIL!D13+MEI!D13+JUNI!D13+JULI!D13+AGUSTUS!D13+SEPTEMBER!D13+OKTOBER!D13+NOVEMBER!D13+DESEMBER!D13)</f>
        <v>12</v>
      </c>
      <c r="E13" s="12">
        <f>SUM(JANUARI!E13+FEBRUARI!E13+MARET!E13+APRIL!E13+MEI!E13+JUNI!E13+JULI!E13+AGUSTUS!E13+SEPTEMBER!E13+OKTOBER!E13+NOVEMBER!E13+DESEMBER!E13)</f>
        <v>345</v>
      </c>
      <c r="F13" s="12">
        <f t="shared" si="1"/>
        <v>1.666666667</v>
      </c>
      <c r="G13" s="12">
        <f>SUM(JANUARI!G13+FEBRUARI!G13+MARET!G13+APRIL!G13+MEI!G13+JUNI!G13+JULI!G13+AGUSTUS!G13+SEPTEMBER!G13+OKTOBER!G13+NOVEMBER!G13+DESEMBER!G13)</f>
        <v>345</v>
      </c>
      <c r="H13" s="12">
        <f>SUM(JANUARI!H13+FEBRUARI!H13+MARET!H13+APRIL!H13+MEI!H13+JUNI!H13+JULI!H13+AGUSTUS!H13+SEPTEMBER!H13+OKTOBER!H13+NOVEMBER!H13+DESEMBER!H13)</f>
        <v>6</v>
      </c>
      <c r="I13" s="12">
        <f t="shared" si="2"/>
        <v>0.01739130435</v>
      </c>
    </row>
    <row r="14">
      <c r="A14" s="10">
        <v>7.0</v>
      </c>
      <c r="B14" s="11" t="s">
        <v>22</v>
      </c>
      <c r="C14" s="12">
        <f>SUM(JANUARI!C14+FEBRUARI!C14+MARET!C14+APRIL!C14+MEI!C14+JUNI!C14+JULI!C14+AGUSTUS!C14+SEPTEMBER!C14+OKTOBER!C14+NOVEMBER!C14+DESEMBER!C14)</f>
        <v>1</v>
      </c>
      <c r="D14" s="12">
        <f>SUM(JANUARI!D14+FEBRUARI!D14+MARET!D14+APRIL!D14+MEI!D14+JUNI!D14+JULI!D14+AGUSTUS!D14+SEPTEMBER!D14+OKTOBER!D14+NOVEMBER!D14+DESEMBER!D14)</f>
        <v>8</v>
      </c>
      <c r="E14" s="12">
        <f>SUM(JANUARI!E14+FEBRUARI!E14+MARET!E14+APRIL!E14+MEI!E14+JUNI!E14+JULI!E14+AGUSTUS!E14+SEPTEMBER!E14+OKTOBER!E14+NOVEMBER!E14+DESEMBER!E14)</f>
        <v>182</v>
      </c>
      <c r="F14" s="12">
        <f t="shared" si="1"/>
        <v>0.125</v>
      </c>
      <c r="G14" s="12">
        <f>SUM(JANUARI!G14+FEBRUARI!G14+MARET!G14+APRIL!G14+MEI!G14+JUNI!G14+JULI!G14+AGUSTUS!G14+SEPTEMBER!G14+OKTOBER!G14+NOVEMBER!G14+DESEMBER!G14)</f>
        <v>182</v>
      </c>
      <c r="H14" s="12">
        <f>SUM(JANUARI!H14+FEBRUARI!H14+MARET!H14+APRIL!H14+MEI!H14+JUNI!H14+JULI!H14+AGUSTUS!H14+SEPTEMBER!H14+OKTOBER!H14+NOVEMBER!H14+DESEMBER!H14)</f>
        <v>3</v>
      </c>
      <c r="I14" s="12">
        <f t="shared" si="2"/>
        <v>0.01648351648</v>
      </c>
    </row>
    <row r="15">
      <c r="A15" s="10">
        <v>8.0</v>
      </c>
      <c r="B15" s="11" t="s">
        <v>23</v>
      </c>
      <c r="C15" s="12">
        <f>SUM(JANUARI!C15+FEBRUARI!C15+MARET!C15+APRIL!C15+MEI!C15+JUNI!C15+JULI!C15+AGUSTUS!C15+SEPTEMBER!C15+OKTOBER!C15+NOVEMBER!C15+DESEMBER!C15)</f>
        <v>98</v>
      </c>
      <c r="D15" s="12">
        <f>SUM(JANUARI!D15+FEBRUARI!D15+MARET!D15+APRIL!D15+MEI!D15+JUNI!D15+JULI!D15+AGUSTUS!D15+SEPTEMBER!D15+OKTOBER!D15+NOVEMBER!D15+DESEMBER!D15)</f>
        <v>43</v>
      </c>
      <c r="E15" s="12">
        <f>SUM(JANUARI!E15+FEBRUARI!E15+MARET!E15+APRIL!E15+MEI!E15+JUNI!E15+JULI!E15+AGUSTUS!E15+SEPTEMBER!E15+OKTOBER!E15+NOVEMBER!E15+DESEMBER!E15)</f>
        <v>593</v>
      </c>
      <c r="F15" s="12">
        <f t="shared" si="1"/>
        <v>2.279069767</v>
      </c>
      <c r="G15" s="12">
        <f>SUM(JANUARI!G15+FEBRUARI!G15+MARET!G15+APRIL!G15+MEI!G15+JUNI!G15+JULI!G15+AGUSTUS!G15+SEPTEMBER!G15+OKTOBER!G15+NOVEMBER!G15+DESEMBER!G15)</f>
        <v>593</v>
      </c>
      <c r="H15" s="12">
        <f>SUM(JANUARI!H15+FEBRUARI!H15+MARET!H15+APRIL!H15+MEI!H15+JUNI!H15+JULI!H15+AGUSTUS!H15+SEPTEMBER!H15+OKTOBER!H15+NOVEMBER!H15+DESEMBER!H15)</f>
        <v>18</v>
      </c>
      <c r="I15" s="12">
        <f t="shared" si="2"/>
        <v>0.03035413153</v>
      </c>
    </row>
    <row r="16">
      <c r="A16" s="10">
        <v>9.0</v>
      </c>
      <c r="B16" s="11" t="s">
        <v>24</v>
      </c>
      <c r="C16" s="12">
        <f>SUM(JANUARI!C16+FEBRUARI!C16+MARET!C16+APRIL!C16+MEI!C16+JUNI!C16+JULI!C16+AGUSTUS!C16+SEPTEMBER!C16+OKTOBER!C16+NOVEMBER!C16+DESEMBER!C16)</f>
        <v>0</v>
      </c>
      <c r="D16" s="12">
        <f>SUM(JANUARI!D16+FEBRUARI!D16+MARET!D16+APRIL!D16+MEI!D16+JUNI!D16+JULI!D16+AGUSTUS!D16+SEPTEMBER!D16+OKTOBER!D16+NOVEMBER!D16+DESEMBER!D16)</f>
        <v>0</v>
      </c>
      <c r="E16" s="12">
        <f>SUM(JANUARI!E16+FEBRUARI!E16+MARET!E16+APRIL!E16+MEI!E16+JUNI!E16+JULI!E16+AGUSTUS!E16+SEPTEMBER!E16+OKTOBER!E16+NOVEMBER!E16+DESEMBER!E16)</f>
        <v>0</v>
      </c>
      <c r="F16" s="12" t="str">
        <f t="shared" si="1"/>
        <v>#DIV/0!</v>
      </c>
      <c r="G16" s="12">
        <f>SUM(JANUARI!G16+FEBRUARI!G16+MARET!G16+APRIL!G16+MEI!G16+JUNI!G16+JULI!G16+AGUSTUS!G16+SEPTEMBER!G16+OKTOBER!G16+NOVEMBER!G16+DESEMBER!G16)</f>
        <v>0</v>
      </c>
      <c r="H16" s="12">
        <f>SUM(JANUARI!H16+FEBRUARI!H16+MARET!H16+APRIL!H16+MEI!H16+JUNI!H16+JULI!H16+AGUSTUS!H16+SEPTEMBER!H16+OKTOBER!H16+NOVEMBER!H16+DESEMBER!H16)</f>
        <v>0</v>
      </c>
      <c r="I16" s="12" t="str">
        <f t="shared" si="2"/>
        <v>#DIV/0!</v>
      </c>
    </row>
    <row r="17">
      <c r="A17" s="10">
        <v>10.0</v>
      </c>
      <c r="B17" s="11" t="s">
        <v>25</v>
      </c>
      <c r="C17" s="12">
        <f>SUM(JANUARI!C17+FEBRUARI!C17+MARET!C17+APRIL!C17+MEI!C17+JUNI!C17+JULI!C17+AGUSTUS!C17+SEPTEMBER!C17+OKTOBER!C17+NOVEMBER!C17+DESEMBER!C17)</f>
        <v>0</v>
      </c>
      <c r="D17" s="12">
        <f>SUM(JANUARI!D17+FEBRUARI!D17+MARET!D17+APRIL!D17+MEI!D17+JUNI!D17+JULI!D17+AGUSTUS!D17+SEPTEMBER!D17+OKTOBER!D17+NOVEMBER!D17+DESEMBER!D17)</f>
        <v>0</v>
      </c>
      <c r="E17" s="12">
        <f>SUM(JANUARI!E17+FEBRUARI!E17+MARET!E17+APRIL!E17+MEI!E17+JUNI!E17+JULI!E17+AGUSTUS!E17+SEPTEMBER!E17+OKTOBER!E17+NOVEMBER!E17+DESEMBER!E17)</f>
        <v>0</v>
      </c>
      <c r="F17" s="12" t="str">
        <f t="shared" si="1"/>
        <v>#DIV/0!</v>
      </c>
      <c r="G17" s="12">
        <f>SUM(JANUARI!G17+FEBRUARI!G17+MARET!G17+APRIL!G17+MEI!G17+JUNI!G17+JULI!G17+AGUSTUS!G17+SEPTEMBER!G17+OKTOBER!G17+NOVEMBER!G17+DESEMBER!G17)</f>
        <v>0</v>
      </c>
      <c r="H17" s="12">
        <f>SUM(JANUARI!H17+FEBRUARI!H17+MARET!H17+APRIL!H17+MEI!H17+JUNI!H17+JULI!H17+AGUSTUS!H17+SEPTEMBER!H17+OKTOBER!H17+NOVEMBER!H17+DESEMBER!H17)</f>
        <v>0</v>
      </c>
      <c r="I17" s="12" t="str">
        <f t="shared" si="2"/>
        <v>#DIV/0!</v>
      </c>
    </row>
    <row r="18">
      <c r="A18" s="10">
        <v>11.0</v>
      </c>
      <c r="B18" s="11" t="s">
        <v>26</v>
      </c>
      <c r="C18" s="12">
        <f>SUM(JANUARI!C18+FEBRUARI!C18+MARET!C18+APRIL!C18+MEI!C18+JUNI!C18+JULI!C18+AGUSTUS!C18+SEPTEMBER!C18+OKTOBER!C18+NOVEMBER!C18+DESEMBER!C18)</f>
        <v>7</v>
      </c>
      <c r="D18" s="12">
        <f>SUM(JANUARI!D18+FEBRUARI!D18+MARET!D18+APRIL!D18+MEI!D18+JUNI!D18+JULI!D18+AGUSTUS!D18+SEPTEMBER!D18+OKTOBER!D18+NOVEMBER!D18+DESEMBER!D18)</f>
        <v>12</v>
      </c>
      <c r="E18" s="12">
        <f>SUM(JANUARI!E18+FEBRUARI!E18+MARET!E18+APRIL!E18+MEI!E18+JUNI!E18+JULI!E18+AGUSTUS!E18+SEPTEMBER!E18+OKTOBER!E18+NOVEMBER!E18+DESEMBER!E18)</f>
        <v>164</v>
      </c>
      <c r="F18" s="12">
        <f t="shared" si="1"/>
        <v>0.5833333333</v>
      </c>
      <c r="G18" s="12">
        <f>SUM(JANUARI!G18+FEBRUARI!G18+MARET!G18+APRIL!G18+MEI!G18+JUNI!G18+JULI!G18+AGUSTUS!G18+SEPTEMBER!G18+OKTOBER!G18+NOVEMBER!G18+DESEMBER!G18)</f>
        <v>162</v>
      </c>
      <c r="H18" s="12">
        <f>SUM(JANUARI!H18+FEBRUARI!H18+MARET!H18+APRIL!H18+MEI!H18+JUNI!H18+JULI!H18+AGUSTUS!H18+SEPTEMBER!H18+OKTOBER!H18+NOVEMBER!H18+DESEMBER!H18)</f>
        <v>0</v>
      </c>
      <c r="I18" s="12">
        <f t="shared" si="2"/>
        <v>0</v>
      </c>
    </row>
    <row r="19">
      <c r="A19" s="10">
        <v>12.0</v>
      </c>
      <c r="B19" s="11" t="s">
        <v>27</v>
      </c>
      <c r="C19" s="12">
        <f>SUM(JANUARI!C19+FEBRUARI!C19+MARET!C19+APRIL!C19+MEI!C19+JUNI!C19+JULI!C19+AGUSTUS!C19+SEPTEMBER!C19+OKTOBER!C19+NOVEMBER!C19+DESEMBER!C19)</f>
        <v>0</v>
      </c>
      <c r="D19" s="12">
        <f>SUM(JANUARI!D19+FEBRUARI!D19+MARET!D19+APRIL!D19+MEI!D19+JUNI!D19+JULI!D19+AGUSTUS!D19+SEPTEMBER!D19+OKTOBER!D19+NOVEMBER!D19+DESEMBER!D19)</f>
        <v>0</v>
      </c>
      <c r="E19" s="12">
        <f>SUM(JANUARI!E19+FEBRUARI!E19+MARET!E19+APRIL!E19+MEI!E19+JUNI!E19+JULI!E19+AGUSTUS!E19+SEPTEMBER!E19+OKTOBER!E19+NOVEMBER!E19+DESEMBER!E19)</f>
        <v>0</v>
      </c>
      <c r="F19" s="12" t="str">
        <f t="shared" si="1"/>
        <v>#DIV/0!</v>
      </c>
      <c r="G19" s="12">
        <f>SUM(JANUARI!G19+FEBRUARI!G19+MARET!G19+APRIL!G19+MEI!G19+JUNI!G19+JULI!G19+AGUSTUS!G19+SEPTEMBER!G19+OKTOBER!G19+NOVEMBER!G19+DESEMBER!G19)</f>
        <v>0</v>
      </c>
      <c r="H19" s="12">
        <f>SUM(JANUARI!H19+FEBRUARI!H19+MARET!H19+APRIL!H19+MEI!H19+JUNI!H19+JULI!H19+AGUSTUS!H19+SEPTEMBER!H19+OKTOBER!H19+NOVEMBER!H19+DESEMBER!H19)</f>
        <v>0</v>
      </c>
      <c r="I19" s="12" t="str">
        <f t="shared" si="2"/>
        <v>#DIV/0!</v>
      </c>
    </row>
    <row r="20">
      <c r="A20" s="5" t="s">
        <v>28</v>
      </c>
      <c r="B20" s="7"/>
      <c r="C20" s="13">
        <f t="shared" ref="C20:E20" si="3">SUM(C8:C19)</f>
        <v>269</v>
      </c>
      <c r="D20" s="13">
        <f t="shared" si="3"/>
        <v>213</v>
      </c>
      <c r="E20" s="13">
        <f t="shared" si="3"/>
        <v>1651</v>
      </c>
      <c r="F20" s="12">
        <f t="shared" si="1"/>
        <v>1.262910798</v>
      </c>
      <c r="G20" s="13">
        <f t="shared" ref="G20:H20" si="4">SUM(G8:G19)</f>
        <v>1653</v>
      </c>
      <c r="H20" s="13">
        <f t="shared" si="4"/>
        <v>29</v>
      </c>
      <c r="I20" s="12">
        <f t="shared" si="2"/>
        <v>0.01754385965</v>
      </c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  <row r="26">
      <c r="A26" s="1"/>
      <c r="B26" s="1"/>
      <c r="C26" s="1"/>
      <c r="D26" s="1"/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7">
    <mergeCell ref="A2:I2"/>
    <mergeCell ref="A3:I3"/>
    <mergeCell ref="A4:I4"/>
    <mergeCell ref="A6:A7"/>
    <mergeCell ref="B6:B7"/>
    <mergeCell ref="C6:I6"/>
    <mergeCell ref="A20:B20"/>
  </mergeCells>
  <drawing r:id="rId1"/>
</worksheet>
</file>