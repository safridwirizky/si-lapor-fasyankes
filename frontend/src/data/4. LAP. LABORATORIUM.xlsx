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" sheetId="1" r:id="rId5"/>
    <sheet state="visible" name="FEBRUARI" sheetId="2" r:id="rId6"/>
    <sheet state="visible" name="MARET" sheetId="3" r:id="rId7"/>
    <sheet state="visible" name="APRIL" sheetId="4" r:id="rId8"/>
    <sheet state="visible" name="MEI" sheetId="5" r:id="rId9"/>
    <sheet state="visible" name="JUNI" sheetId="6" r:id="rId10"/>
    <sheet state="visible" name="JULI" sheetId="7" r:id="rId11"/>
    <sheet state="visible" name="AGUSTUS" sheetId="8" r:id="rId12"/>
    <sheet state="visible" name="SEPTEMBER" sheetId="9" r:id="rId13"/>
    <sheet state="visible" name="OKTOBER" sheetId="10" r:id="rId14"/>
    <sheet state="visible" name="NOVEMBER" sheetId="11" r:id="rId15"/>
    <sheet state="visible" name="DESEMBER" sheetId="12" r:id="rId16"/>
    <sheet state="visible" name="REKAP" sheetId="13" r:id="rId17"/>
  </sheets>
  <definedNames/>
  <calcPr/>
</workbook>
</file>

<file path=xl/sharedStrings.xml><?xml version="1.0" encoding="utf-8"?>
<sst xmlns="http://schemas.openxmlformats.org/spreadsheetml/2006/main" count="2405" uniqueCount="90">
  <si>
    <t>LAPORAN LABORATORIUM</t>
  </si>
  <si>
    <t>DI PUSKESMAS KABUPATEN ROTE NDAO</t>
  </si>
  <si>
    <t>JANUARI 2026</t>
  </si>
  <si>
    <t>No.</t>
  </si>
  <si>
    <t>ELEMEN DATA</t>
  </si>
  <si>
    <t>BAA</t>
  </si>
  <si>
    <t>BATUTUA</t>
  </si>
  <si>
    <t>BUSALANGGA</t>
  </si>
  <si>
    <t>DELHA</t>
  </si>
  <si>
    <t>EAHUN</t>
  </si>
  <si>
    <t>FEAPOPI</t>
  </si>
  <si>
    <t>L</t>
  </si>
  <si>
    <t>P</t>
  </si>
  <si>
    <t>TOTAL</t>
  </si>
  <si>
    <t>Total Kunjungan Laboratorium</t>
  </si>
  <si>
    <t>Peminta Tes Laboratorium</t>
  </si>
  <si>
    <t>a.</t>
  </si>
  <si>
    <t>Poli umum</t>
  </si>
  <si>
    <t>FEBRUARI 2026</t>
  </si>
  <si>
    <t>b.</t>
  </si>
  <si>
    <t>KIA / KB</t>
  </si>
  <si>
    <t>MARET 2026</t>
  </si>
  <si>
    <t>c.</t>
  </si>
  <si>
    <t>Rawat inap</t>
  </si>
  <si>
    <t>APRIL 2026</t>
  </si>
  <si>
    <t>d.</t>
  </si>
  <si>
    <t>Unit gawat darurat</t>
  </si>
  <si>
    <t>e.</t>
  </si>
  <si>
    <t>MTBS</t>
  </si>
  <si>
    <t>f.</t>
  </si>
  <si>
    <t>Poli Gigi</t>
  </si>
  <si>
    <t>g.</t>
  </si>
  <si>
    <t>PONED</t>
  </si>
  <si>
    <t>h.</t>
  </si>
  <si>
    <t>Pustu</t>
  </si>
  <si>
    <t>Jumlah Pemeriksaan Laboratorium</t>
  </si>
  <si>
    <t>Golongan darah</t>
  </si>
  <si>
    <t>Hb</t>
  </si>
  <si>
    <t>Leukosit</t>
  </si>
  <si>
    <t>Eritrosit</t>
  </si>
  <si>
    <t>Trombosit</t>
  </si>
  <si>
    <t>Glukosa Post pandiel ( 2 jam PP )</t>
  </si>
  <si>
    <t>Gulukosa Urine</t>
  </si>
  <si>
    <t>Asam Urat</t>
  </si>
  <si>
    <t>i.</t>
  </si>
  <si>
    <t>Gula darah sewaktu</t>
  </si>
  <si>
    <t>j.</t>
  </si>
  <si>
    <t>Gula darah puasa</t>
  </si>
  <si>
    <t>k.</t>
  </si>
  <si>
    <t>Urin Acid</t>
  </si>
  <si>
    <t>l.</t>
  </si>
  <si>
    <t>Cholestrol</t>
  </si>
  <si>
    <t>m.</t>
  </si>
  <si>
    <t>Protein Urine</t>
  </si>
  <si>
    <t>n.</t>
  </si>
  <si>
    <t>HIV</t>
  </si>
  <si>
    <t>o.</t>
  </si>
  <si>
    <t>SYPHILIS</t>
  </si>
  <si>
    <t>p.</t>
  </si>
  <si>
    <t>HBSAg</t>
  </si>
  <si>
    <t>q.</t>
  </si>
  <si>
    <t>Malaria P.V (Jika positip isi jenis plasmodiumnya)</t>
  </si>
  <si>
    <t>r.</t>
  </si>
  <si>
    <t>Widal</t>
  </si>
  <si>
    <t>s.</t>
  </si>
  <si>
    <t>Sputum BTA</t>
  </si>
  <si>
    <t>t.</t>
  </si>
  <si>
    <t>Test Kehamilan</t>
  </si>
  <si>
    <t>u.</t>
  </si>
  <si>
    <t>Tinja</t>
  </si>
  <si>
    <t>v.</t>
  </si>
  <si>
    <t>Urine Lengkap</t>
  </si>
  <si>
    <t>w.</t>
  </si>
  <si>
    <t>Urine Sedimen</t>
  </si>
  <si>
    <t>KORBAFO</t>
  </si>
  <si>
    <t>NDAO</t>
  </si>
  <si>
    <t>OELABA</t>
  </si>
  <si>
    <t>OELE</t>
  </si>
  <si>
    <t>SONIMANU</t>
  </si>
  <si>
    <t>SOTIMORI</t>
  </si>
  <si>
    <t>HCT</t>
  </si>
  <si>
    <t>MEI 2026</t>
  </si>
  <si>
    <t>JUNI 2026</t>
  </si>
  <si>
    <t>JULI 2026</t>
  </si>
  <si>
    <t>AGUSTUS 2026</t>
  </si>
  <si>
    <t xml:space="preserve">Malaria P.V (Jika positip isi jenis plasmodiumnya) </t>
  </si>
  <si>
    <t>SEPTEMBER 2026</t>
  </si>
  <si>
    <t>OKTOBER 2026</t>
  </si>
  <si>
    <t>NOVEMBER 2026</t>
  </si>
  <si>
    <t>DESEMBER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</si>
</sst>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Times New Roman"/>
    </font>
    <font>
      <b/>
      <sz val="10.0"/>
      <color theme="1"/>
      <name val="Times New Roman"/>
    </font>
    <font/>
    <font>
      <b/>
      <sz val="10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2" fontId="2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left" readingOrder="0" shrinkToFit="0" vertical="bottom" wrapText="0"/>
    </xf>
    <xf borderId="10" fillId="2" fontId="2" numFmtId="0" xfId="0" applyBorder="1" applyFont="1"/>
    <xf borderId="1" fillId="0" fontId="2" numFmtId="0" xfId="0" applyAlignment="1" applyBorder="1" applyFont="1">
      <alignment horizontal="center" readingOrder="0" vertical="top"/>
    </xf>
    <xf borderId="4" fillId="0" fontId="2" numFmtId="0" xfId="0" applyAlignment="1" applyBorder="1" applyFont="1">
      <alignment horizontal="left" readingOrder="0"/>
    </xf>
    <xf borderId="11" fillId="0" fontId="3" numFmtId="0" xfId="0" applyBorder="1" applyFont="1"/>
    <xf borderId="10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readingOrder="0"/>
    </xf>
    <xf quotePrefix="1" borderId="0" fillId="0" fontId="2" numFmtId="0" xfId="0" applyAlignment="1" applyFont="1">
      <alignment horizontal="center" readingOrder="0"/>
    </xf>
    <xf borderId="10" fillId="0" fontId="1" numFmtId="0" xfId="0" applyBorder="1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3" t="s">
        <v>2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163</v>
      </c>
      <c r="E8" s="16">
        <f t="shared" si="1"/>
        <v>778</v>
      </c>
      <c r="F8" s="16">
        <f t="shared" si="1"/>
        <v>941</v>
      </c>
      <c r="G8" s="16">
        <f t="shared" si="1"/>
        <v>276</v>
      </c>
      <c r="H8" s="16">
        <f t="shared" si="1"/>
        <v>622</v>
      </c>
      <c r="I8" s="16">
        <f t="shared" si="1"/>
        <v>898</v>
      </c>
      <c r="J8" s="16">
        <f t="shared" si="1"/>
        <v>174</v>
      </c>
      <c r="K8" s="16">
        <f t="shared" si="1"/>
        <v>630</v>
      </c>
      <c r="L8" s="16">
        <f t="shared" si="1"/>
        <v>804</v>
      </c>
      <c r="M8" s="16">
        <f t="shared" si="1"/>
        <v>128</v>
      </c>
      <c r="N8" s="16">
        <f t="shared" si="1"/>
        <v>403</v>
      </c>
      <c r="O8" s="16">
        <f t="shared" si="1"/>
        <v>531</v>
      </c>
      <c r="P8" s="16">
        <f t="shared" si="1"/>
        <v>193</v>
      </c>
      <c r="Q8" s="16">
        <f t="shared" si="1"/>
        <v>705</v>
      </c>
      <c r="R8" s="16">
        <f t="shared" si="1"/>
        <v>898</v>
      </c>
      <c r="S8" s="16">
        <f t="shared" si="1"/>
        <v>68</v>
      </c>
      <c r="T8" s="16">
        <f t="shared" si="1"/>
        <v>169</v>
      </c>
      <c r="U8" s="16">
        <f t="shared" si="1"/>
        <v>237</v>
      </c>
    </row>
    <row r="9">
      <c r="A9" s="17">
        <v>2.0</v>
      </c>
      <c r="B9" s="18" t="s">
        <v>15</v>
      </c>
      <c r="C9" s="9"/>
      <c r="D9" s="16">
        <f t="shared" ref="D9:U9" si="2">SUM(D10:D17)</f>
        <v>55</v>
      </c>
      <c r="E9" s="16">
        <f t="shared" si="2"/>
        <v>198</v>
      </c>
      <c r="F9" s="16">
        <f t="shared" si="2"/>
        <v>253</v>
      </c>
      <c r="G9" s="16">
        <f t="shared" si="2"/>
        <v>116</v>
      </c>
      <c r="H9" s="16">
        <f t="shared" si="2"/>
        <v>208</v>
      </c>
      <c r="I9" s="16">
        <f t="shared" si="2"/>
        <v>324</v>
      </c>
      <c r="J9" s="16">
        <f t="shared" si="2"/>
        <v>87</v>
      </c>
      <c r="K9" s="16">
        <f t="shared" si="2"/>
        <v>315</v>
      </c>
      <c r="L9" s="16">
        <f t="shared" si="2"/>
        <v>402</v>
      </c>
      <c r="M9" s="16">
        <f t="shared" si="2"/>
        <v>38</v>
      </c>
      <c r="N9" s="16">
        <f t="shared" si="2"/>
        <v>97</v>
      </c>
      <c r="O9" s="16">
        <f t="shared" si="2"/>
        <v>135</v>
      </c>
      <c r="P9" s="16">
        <f t="shared" si="2"/>
        <v>50</v>
      </c>
      <c r="Q9" s="16">
        <f t="shared" si="2"/>
        <v>148</v>
      </c>
      <c r="R9" s="16">
        <f t="shared" si="2"/>
        <v>198</v>
      </c>
      <c r="S9" s="16">
        <f t="shared" si="2"/>
        <v>27</v>
      </c>
      <c r="T9" s="16">
        <f t="shared" si="2"/>
        <v>45</v>
      </c>
      <c r="U9" s="16">
        <f t="shared" si="2"/>
        <v>72</v>
      </c>
    </row>
    <row r="10">
      <c r="A10" s="19"/>
      <c r="B10" s="20" t="s">
        <v>16</v>
      </c>
      <c r="C10" s="21" t="s">
        <v>17</v>
      </c>
      <c r="D10" s="21">
        <v>51.0</v>
      </c>
      <c r="E10" s="21">
        <v>135.0</v>
      </c>
      <c r="F10" s="16">
        <f t="shared" ref="F10:F17" si="3">SUM(D10:E10)</f>
        <v>186</v>
      </c>
      <c r="G10" s="21">
        <v>98.0</v>
      </c>
      <c r="H10" s="21">
        <v>149.0</v>
      </c>
      <c r="I10" s="16">
        <f t="shared" ref="I10:I17" si="4">SUM(G10:H10)</f>
        <v>247</v>
      </c>
      <c r="J10" s="21">
        <v>87.0</v>
      </c>
      <c r="K10" s="21">
        <v>170.0</v>
      </c>
      <c r="L10" s="16">
        <f t="shared" ref="L10:L17" si="5">SUM(J10:K10)</f>
        <v>257</v>
      </c>
      <c r="M10" s="21">
        <v>33.0</v>
      </c>
      <c r="N10" s="21">
        <v>49.0</v>
      </c>
      <c r="O10" s="16">
        <f t="shared" ref="O10:O17" si="6">SUM(M10:N10)</f>
        <v>82</v>
      </c>
      <c r="P10" s="21">
        <v>45.0</v>
      </c>
      <c r="Q10" s="21">
        <v>67.0</v>
      </c>
      <c r="R10" s="16">
        <f t="shared" ref="R10:R17" si="7">SUM(P10:Q10)</f>
        <v>112</v>
      </c>
      <c r="S10" s="21">
        <v>27.0</v>
      </c>
      <c r="T10" s="21">
        <v>25.0</v>
      </c>
      <c r="U10" s="16">
        <f t="shared" ref="U10:U17" si="8">SUM(S10:T10)</f>
        <v>52</v>
      </c>
    </row>
    <row r="11">
      <c r="A11" s="19"/>
      <c r="B11" s="20" t="s">
        <v>19</v>
      </c>
      <c r="C11" s="21" t="s">
        <v>20</v>
      </c>
      <c r="D11" s="21">
        <v>2.0</v>
      </c>
      <c r="E11" s="21">
        <v>62.0</v>
      </c>
      <c r="F11" s="16">
        <f t="shared" si="3"/>
        <v>64</v>
      </c>
      <c r="G11" s="21">
        <v>0.0</v>
      </c>
      <c r="H11" s="21">
        <v>41.0</v>
      </c>
      <c r="I11" s="16">
        <f t="shared" si="4"/>
        <v>41</v>
      </c>
      <c r="J11" s="21">
        <v>0.0</v>
      </c>
      <c r="K11" s="21">
        <v>144.0</v>
      </c>
      <c r="L11" s="16">
        <f t="shared" si="5"/>
        <v>144</v>
      </c>
      <c r="M11" s="21">
        <v>0.0</v>
      </c>
      <c r="N11" s="21">
        <v>39.0</v>
      </c>
      <c r="O11" s="16">
        <f t="shared" si="6"/>
        <v>39</v>
      </c>
      <c r="P11" s="21">
        <v>0.0</v>
      </c>
      <c r="Q11" s="21">
        <v>60.0</v>
      </c>
      <c r="R11" s="16">
        <f t="shared" si="7"/>
        <v>60</v>
      </c>
      <c r="S11" s="21">
        <v>0.0</v>
      </c>
      <c r="T11" s="21">
        <v>20.0</v>
      </c>
      <c r="U11" s="16">
        <f t="shared" si="8"/>
        <v>20</v>
      </c>
    </row>
    <row r="12">
      <c r="A12" s="19"/>
      <c r="B12" s="20" t="s">
        <v>22</v>
      </c>
      <c r="C12" s="21" t="s">
        <v>23</v>
      </c>
      <c r="D12" s="21">
        <v>0.0</v>
      </c>
      <c r="E12" s="21">
        <v>0.0</v>
      </c>
      <c r="F12" s="16">
        <f t="shared" si="3"/>
        <v>0</v>
      </c>
      <c r="G12" s="21">
        <v>0.0</v>
      </c>
      <c r="H12" s="21">
        <v>0.0</v>
      </c>
      <c r="I12" s="16">
        <f t="shared" si="4"/>
        <v>0</v>
      </c>
      <c r="J12" s="23"/>
      <c r="K12" s="23"/>
      <c r="L12" s="16">
        <f t="shared" si="5"/>
        <v>0</v>
      </c>
      <c r="M12" s="21">
        <v>1.0</v>
      </c>
      <c r="N12" s="21">
        <v>0.0</v>
      </c>
      <c r="O12" s="16">
        <f t="shared" si="6"/>
        <v>1</v>
      </c>
      <c r="P12" s="21">
        <v>0.0</v>
      </c>
      <c r="Q12" s="21">
        <v>6.0</v>
      </c>
      <c r="R12" s="16">
        <f t="shared" si="7"/>
        <v>6</v>
      </c>
      <c r="S12" s="21">
        <v>0.0</v>
      </c>
      <c r="T12" s="21">
        <v>0.0</v>
      </c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1">
        <v>0.0</v>
      </c>
      <c r="E13" s="21">
        <v>0.0</v>
      </c>
      <c r="F13" s="16">
        <f t="shared" si="3"/>
        <v>0</v>
      </c>
      <c r="G13" s="21">
        <v>0.0</v>
      </c>
      <c r="H13" s="21">
        <v>4.0</v>
      </c>
      <c r="I13" s="16">
        <f t="shared" si="4"/>
        <v>4</v>
      </c>
      <c r="J13" s="23"/>
      <c r="K13" s="23"/>
      <c r="L13" s="16">
        <f t="shared" si="5"/>
        <v>0</v>
      </c>
      <c r="M13" s="21">
        <v>3.0</v>
      </c>
      <c r="N13" s="21">
        <v>4.0</v>
      </c>
      <c r="O13" s="16">
        <f t="shared" si="6"/>
        <v>7</v>
      </c>
      <c r="P13" s="21">
        <v>1.0</v>
      </c>
      <c r="Q13" s="21">
        <v>4.0</v>
      </c>
      <c r="R13" s="16">
        <f t="shared" si="7"/>
        <v>5</v>
      </c>
      <c r="S13" s="21">
        <v>0.0</v>
      </c>
      <c r="T13" s="21">
        <v>0.0</v>
      </c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1">
        <v>0.0</v>
      </c>
      <c r="E14" s="21">
        <v>0.0</v>
      </c>
      <c r="F14" s="16">
        <f t="shared" si="3"/>
        <v>0</v>
      </c>
      <c r="G14" s="21">
        <v>4.0</v>
      </c>
      <c r="H14" s="21">
        <v>4.0</v>
      </c>
      <c r="I14" s="16">
        <f t="shared" si="4"/>
        <v>8</v>
      </c>
      <c r="J14" s="23"/>
      <c r="K14" s="23"/>
      <c r="L14" s="16">
        <f t="shared" si="5"/>
        <v>0</v>
      </c>
      <c r="M14" s="21">
        <v>1.0</v>
      </c>
      <c r="N14" s="21">
        <v>2.0</v>
      </c>
      <c r="O14" s="16">
        <f t="shared" si="6"/>
        <v>3</v>
      </c>
      <c r="P14" s="21">
        <v>0.0</v>
      </c>
      <c r="Q14" s="21">
        <v>0.0</v>
      </c>
      <c r="R14" s="16">
        <f t="shared" si="7"/>
        <v>0</v>
      </c>
      <c r="S14" s="21">
        <v>0.0</v>
      </c>
      <c r="T14" s="21">
        <v>0.0</v>
      </c>
      <c r="U14" s="16">
        <f t="shared" si="8"/>
        <v>0</v>
      </c>
    </row>
    <row r="15">
      <c r="A15" s="19"/>
      <c r="B15" s="20" t="s">
        <v>29</v>
      </c>
      <c r="C15" s="21" t="s">
        <v>30</v>
      </c>
      <c r="D15" s="21">
        <v>2.0</v>
      </c>
      <c r="E15" s="21">
        <v>1.0</v>
      </c>
      <c r="F15" s="16">
        <f t="shared" si="3"/>
        <v>3</v>
      </c>
      <c r="G15" s="21">
        <v>14.0</v>
      </c>
      <c r="H15" s="21">
        <v>8.0</v>
      </c>
      <c r="I15" s="16">
        <f t="shared" si="4"/>
        <v>22</v>
      </c>
      <c r="J15" s="23"/>
      <c r="K15" s="23"/>
      <c r="L15" s="16">
        <f t="shared" si="5"/>
        <v>0</v>
      </c>
      <c r="M15" s="21">
        <v>0.0</v>
      </c>
      <c r="N15" s="21">
        <v>0.0</v>
      </c>
      <c r="O15" s="16">
        <f t="shared" si="6"/>
        <v>0</v>
      </c>
      <c r="P15" s="21">
        <v>4.0</v>
      </c>
      <c r="Q15" s="21">
        <v>3.0</v>
      </c>
      <c r="R15" s="16">
        <f t="shared" si="7"/>
        <v>7</v>
      </c>
      <c r="S15" s="21">
        <v>0.0</v>
      </c>
      <c r="T15" s="21">
        <v>0.0</v>
      </c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1">
        <v>0.0</v>
      </c>
      <c r="E16" s="21">
        <v>0.0</v>
      </c>
      <c r="F16" s="16">
        <f t="shared" si="3"/>
        <v>0</v>
      </c>
      <c r="G16" s="21">
        <v>0.0</v>
      </c>
      <c r="H16" s="21">
        <v>2.0</v>
      </c>
      <c r="I16" s="16">
        <f t="shared" si="4"/>
        <v>2</v>
      </c>
      <c r="J16" s="21">
        <v>0.0</v>
      </c>
      <c r="K16" s="21">
        <v>1.0</v>
      </c>
      <c r="L16" s="16">
        <f t="shared" si="5"/>
        <v>1</v>
      </c>
      <c r="M16" s="21">
        <v>0.0</v>
      </c>
      <c r="N16" s="21">
        <v>3.0</v>
      </c>
      <c r="O16" s="16">
        <f t="shared" si="6"/>
        <v>3</v>
      </c>
      <c r="P16" s="21">
        <v>0.0</v>
      </c>
      <c r="Q16" s="21">
        <v>8.0</v>
      </c>
      <c r="R16" s="16">
        <f t="shared" si="7"/>
        <v>8</v>
      </c>
      <c r="S16" s="21">
        <v>0.0</v>
      </c>
      <c r="T16" s="21">
        <v>0.0</v>
      </c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1">
        <v>0.0</v>
      </c>
      <c r="E17" s="21">
        <v>0.0</v>
      </c>
      <c r="F17" s="16">
        <f t="shared" si="3"/>
        <v>0</v>
      </c>
      <c r="G17" s="21">
        <v>0.0</v>
      </c>
      <c r="H17" s="21">
        <v>0.0</v>
      </c>
      <c r="I17" s="16">
        <f t="shared" si="4"/>
        <v>0</v>
      </c>
      <c r="J17" s="23"/>
      <c r="K17" s="23"/>
      <c r="L17" s="16">
        <f t="shared" si="5"/>
        <v>0</v>
      </c>
      <c r="M17" s="21">
        <v>0.0</v>
      </c>
      <c r="N17" s="21">
        <v>0.0</v>
      </c>
      <c r="O17" s="16">
        <f t="shared" si="6"/>
        <v>0</v>
      </c>
      <c r="P17" s="21">
        <v>0.0</v>
      </c>
      <c r="Q17" s="21">
        <v>0.0</v>
      </c>
      <c r="R17" s="16">
        <f t="shared" si="7"/>
        <v>0</v>
      </c>
      <c r="S17" s="21">
        <v>0.0</v>
      </c>
      <c r="T17" s="21">
        <v>0.0</v>
      </c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108</v>
      </c>
      <c r="E18" s="16">
        <f t="shared" si="9"/>
        <v>580</v>
      </c>
      <c r="F18" s="16">
        <f t="shared" si="9"/>
        <v>688</v>
      </c>
      <c r="G18" s="16">
        <f t="shared" si="9"/>
        <v>160</v>
      </c>
      <c r="H18" s="16">
        <f t="shared" si="9"/>
        <v>414</v>
      </c>
      <c r="I18" s="16">
        <f t="shared" si="9"/>
        <v>574</v>
      </c>
      <c r="J18" s="16">
        <f t="shared" si="9"/>
        <v>87</v>
      </c>
      <c r="K18" s="16">
        <f t="shared" si="9"/>
        <v>315</v>
      </c>
      <c r="L18" s="16">
        <f t="shared" si="9"/>
        <v>402</v>
      </c>
      <c r="M18" s="16">
        <f t="shared" si="9"/>
        <v>90</v>
      </c>
      <c r="N18" s="16">
        <f t="shared" si="9"/>
        <v>306</v>
      </c>
      <c r="O18" s="16">
        <f t="shared" si="9"/>
        <v>396</v>
      </c>
      <c r="P18" s="16">
        <f t="shared" si="9"/>
        <v>143</v>
      </c>
      <c r="Q18" s="16">
        <f t="shared" si="9"/>
        <v>557</v>
      </c>
      <c r="R18" s="16">
        <f t="shared" si="9"/>
        <v>700</v>
      </c>
      <c r="S18" s="16">
        <f t="shared" si="9"/>
        <v>41</v>
      </c>
      <c r="T18" s="16">
        <f t="shared" si="9"/>
        <v>124</v>
      </c>
      <c r="U18" s="16">
        <f t="shared" si="9"/>
        <v>165</v>
      </c>
    </row>
    <row r="19">
      <c r="A19" s="19"/>
      <c r="B19" s="20" t="s">
        <v>16</v>
      </c>
      <c r="C19" s="21" t="s">
        <v>36</v>
      </c>
      <c r="D19" s="21">
        <v>3.0</v>
      </c>
      <c r="E19" s="21">
        <v>21.0</v>
      </c>
      <c r="F19" s="16">
        <f t="shared" ref="F19:F41" si="10">SUM(D19:E19)</f>
        <v>24</v>
      </c>
      <c r="G19" s="21">
        <v>0.0</v>
      </c>
      <c r="H19" s="21">
        <v>11.0</v>
      </c>
      <c r="I19" s="16">
        <f t="shared" ref="I19:I41" si="11">SUM(G19:H19)</f>
        <v>11</v>
      </c>
      <c r="J19" s="21">
        <v>2.0</v>
      </c>
      <c r="K19" s="21">
        <v>18.0</v>
      </c>
      <c r="L19" s="16">
        <f t="shared" ref="L19:L41" si="12">SUM(J19:K19)</f>
        <v>20</v>
      </c>
      <c r="M19" s="21">
        <v>0.0</v>
      </c>
      <c r="N19" s="21">
        <v>6.0</v>
      </c>
      <c r="O19" s="16">
        <f t="shared" ref="O19:O41" si="13">SUM(M19:N19)</f>
        <v>6</v>
      </c>
      <c r="P19" s="21">
        <v>0.0</v>
      </c>
      <c r="Q19" s="21">
        <v>33.0</v>
      </c>
      <c r="R19" s="16">
        <f t="shared" ref="R19:R41" si="14">SUM(P19:Q19)</f>
        <v>33</v>
      </c>
      <c r="S19" s="21">
        <v>0.0</v>
      </c>
      <c r="T19" s="21">
        <v>9.0</v>
      </c>
      <c r="U19" s="16">
        <f t="shared" ref="U19:U41" si="15">SUM(S19:T19)</f>
        <v>9</v>
      </c>
    </row>
    <row r="20">
      <c r="A20" s="19"/>
      <c r="B20" s="20" t="s">
        <v>19</v>
      </c>
      <c r="C20" s="21" t="s">
        <v>37</v>
      </c>
      <c r="D20" s="23"/>
      <c r="E20" s="21">
        <v>59.0</v>
      </c>
      <c r="F20" s="16">
        <f t="shared" si="10"/>
        <v>59</v>
      </c>
      <c r="G20" s="21">
        <v>0.0</v>
      </c>
      <c r="H20" s="21">
        <v>34.0</v>
      </c>
      <c r="I20" s="16">
        <f t="shared" si="11"/>
        <v>34</v>
      </c>
      <c r="J20" s="21">
        <v>3.0</v>
      </c>
      <c r="K20" s="21">
        <v>45.0</v>
      </c>
      <c r="L20" s="16">
        <f t="shared" si="12"/>
        <v>48</v>
      </c>
      <c r="M20" s="21">
        <v>9.0</v>
      </c>
      <c r="N20" s="21">
        <v>55.0</v>
      </c>
      <c r="O20" s="16">
        <f t="shared" si="13"/>
        <v>64</v>
      </c>
      <c r="P20" s="21">
        <v>17.0</v>
      </c>
      <c r="Q20" s="21">
        <v>72.0</v>
      </c>
      <c r="R20" s="16">
        <f t="shared" si="14"/>
        <v>89</v>
      </c>
      <c r="S20" s="21">
        <v>2.0</v>
      </c>
      <c r="T20" s="21">
        <v>11.0</v>
      </c>
      <c r="U20" s="16">
        <f t="shared" si="15"/>
        <v>13</v>
      </c>
    </row>
    <row r="21">
      <c r="A21" s="19"/>
      <c r="B21" s="20" t="s">
        <v>22</v>
      </c>
      <c r="C21" s="21" t="s">
        <v>38</v>
      </c>
      <c r="D21" s="23"/>
      <c r="E21" s="21">
        <v>8.0</v>
      </c>
      <c r="F21" s="16">
        <f t="shared" si="10"/>
        <v>8</v>
      </c>
      <c r="G21" s="21">
        <v>0.0</v>
      </c>
      <c r="H21" s="21">
        <v>0.0</v>
      </c>
      <c r="I21" s="16">
        <f t="shared" si="11"/>
        <v>0</v>
      </c>
      <c r="J21" s="23"/>
      <c r="K21" s="23"/>
      <c r="L21" s="16">
        <f t="shared" si="12"/>
        <v>0</v>
      </c>
      <c r="M21" s="21">
        <v>0.0</v>
      </c>
      <c r="N21" s="21">
        <v>0.0</v>
      </c>
      <c r="O21" s="16">
        <f t="shared" si="13"/>
        <v>0</v>
      </c>
      <c r="P21" s="21">
        <v>7.0</v>
      </c>
      <c r="Q21" s="21">
        <v>9.0</v>
      </c>
      <c r="R21" s="16">
        <f t="shared" si="14"/>
        <v>16</v>
      </c>
      <c r="S21" s="21">
        <v>0.0</v>
      </c>
      <c r="T21" s="21">
        <v>0.0</v>
      </c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3"/>
      <c r="E22" s="21">
        <v>8.0</v>
      </c>
      <c r="F22" s="16">
        <f t="shared" si="10"/>
        <v>8</v>
      </c>
      <c r="G22" s="21">
        <v>0.0</v>
      </c>
      <c r="H22" s="21">
        <v>0.0</v>
      </c>
      <c r="I22" s="16">
        <f t="shared" si="11"/>
        <v>0</v>
      </c>
      <c r="J22" s="23"/>
      <c r="K22" s="23"/>
      <c r="L22" s="16">
        <f t="shared" si="12"/>
        <v>0</v>
      </c>
      <c r="M22" s="21">
        <v>0.0</v>
      </c>
      <c r="N22" s="21">
        <v>0.0</v>
      </c>
      <c r="O22" s="16">
        <f t="shared" si="13"/>
        <v>0</v>
      </c>
      <c r="P22" s="21">
        <v>7.0</v>
      </c>
      <c r="Q22" s="21">
        <v>9.0</v>
      </c>
      <c r="R22" s="16">
        <f t="shared" si="14"/>
        <v>16</v>
      </c>
      <c r="S22" s="21">
        <v>0.0</v>
      </c>
      <c r="T22" s="21">
        <v>0.0</v>
      </c>
      <c r="U22" s="16">
        <f t="shared" si="15"/>
        <v>0</v>
      </c>
    </row>
    <row r="23">
      <c r="A23" s="19"/>
      <c r="B23" s="20" t="s">
        <v>27</v>
      </c>
      <c r="C23" s="21" t="s">
        <v>40</v>
      </c>
      <c r="D23" s="23"/>
      <c r="E23" s="23"/>
      <c r="F23" s="16">
        <f t="shared" si="10"/>
        <v>0</v>
      </c>
      <c r="G23" s="21">
        <v>0.0</v>
      </c>
      <c r="H23" s="21">
        <v>0.0</v>
      </c>
      <c r="I23" s="16">
        <f t="shared" si="11"/>
        <v>0</v>
      </c>
      <c r="J23" s="23"/>
      <c r="K23" s="23"/>
      <c r="L23" s="16">
        <f t="shared" si="12"/>
        <v>0</v>
      </c>
      <c r="M23" s="21">
        <v>0.0</v>
      </c>
      <c r="N23" s="21">
        <v>0.0</v>
      </c>
      <c r="O23" s="16">
        <f t="shared" si="13"/>
        <v>0</v>
      </c>
      <c r="P23" s="21">
        <v>7.0</v>
      </c>
      <c r="Q23" s="21">
        <v>9.0</v>
      </c>
      <c r="R23" s="16">
        <f t="shared" si="14"/>
        <v>16</v>
      </c>
      <c r="S23" s="21">
        <v>0.0</v>
      </c>
      <c r="T23" s="21">
        <v>0.0</v>
      </c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1">
        <v>0.0</v>
      </c>
      <c r="H24" s="21">
        <v>0.0</v>
      </c>
      <c r="I24" s="16">
        <f t="shared" si="11"/>
        <v>0</v>
      </c>
      <c r="J24" s="23"/>
      <c r="K24" s="23"/>
      <c r="L24" s="16">
        <f t="shared" si="12"/>
        <v>0</v>
      </c>
      <c r="M24" s="21">
        <v>0.0</v>
      </c>
      <c r="N24" s="21">
        <v>0.0</v>
      </c>
      <c r="O24" s="16">
        <f t="shared" si="13"/>
        <v>0</v>
      </c>
      <c r="P24" s="21">
        <v>0.0</v>
      </c>
      <c r="Q24" s="21">
        <v>0.0</v>
      </c>
      <c r="R24" s="16">
        <f t="shared" si="14"/>
        <v>0</v>
      </c>
      <c r="S24" s="21">
        <v>0.0</v>
      </c>
      <c r="T24" s="21">
        <v>0.0</v>
      </c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3"/>
      <c r="E25" s="21">
        <v>10.0</v>
      </c>
      <c r="F25" s="16">
        <f t="shared" si="10"/>
        <v>10</v>
      </c>
      <c r="G25" s="21">
        <v>0.0</v>
      </c>
      <c r="H25" s="21">
        <v>23.0</v>
      </c>
      <c r="I25" s="16">
        <f t="shared" si="11"/>
        <v>23</v>
      </c>
      <c r="J25" s="23"/>
      <c r="K25" s="23"/>
      <c r="L25" s="16">
        <f t="shared" si="12"/>
        <v>0</v>
      </c>
      <c r="M25" s="21">
        <v>0.0</v>
      </c>
      <c r="N25" s="21">
        <v>0.0</v>
      </c>
      <c r="O25" s="16">
        <f t="shared" si="13"/>
        <v>0</v>
      </c>
      <c r="P25" s="21">
        <v>0.0</v>
      </c>
      <c r="Q25" s="21">
        <v>0.0</v>
      </c>
      <c r="R25" s="16">
        <f t="shared" si="14"/>
        <v>0</v>
      </c>
      <c r="S25" s="21">
        <v>0.0</v>
      </c>
      <c r="T25" s="21">
        <v>0.0</v>
      </c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1">
        <v>25.0</v>
      </c>
      <c r="E26" s="21">
        <v>72.0</v>
      </c>
      <c r="F26" s="16">
        <f t="shared" si="10"/>
        <v>97</v>
      </c>
      <c r="G26" s="21">
        <v>26.0</v>
      </c>
      <c r="H26" s="21">
        <v>30.0</v>
      </c>
      <c r="I26" s="16">
        <f t="shared" si="11"/>
        <v>56</v>
      </c>
      <c r="J26" s="21">
        <v>27.0</v>
      </c>
      <c r="K26" s="21">
        <v>57.0</v>
      </c>
      <c r="L26" s="16">
        <f t="shared" si="12"/>
        <v>84</v>
      </c>
      <c r="M26" s="21">
        <v>20.0</v>
      </c>
      <c r="N26" s="21">
        <v>28.0</v>
      </c>
      <c r="O26" s="16">
        <f t="shared" si="13"/>
        <v>48</v>
      </c>
      <c r="P26" s="21">
        <v>28.0</v>
      </c>
      <c r="Q26" s="21">
        <v>47.0</v>
      </c>
      <c r="R26" s="16">
        <f t="shared" si="14"/>
        <v>75</v>
      </c>
      <c r="S26" s="21">
        <v>7.0</v>
      </c>
      <c r="T26" s="21">
        <v>9.0</v>
      </c>
      <c r="U26" s="16">
        <f t="shared" si="15"/>
        <v>16</v>
      </c>
    </row>
    <row r="27">
      <c r="A27" s="19"/>
      <c r="B27" s="20" t="s">
        <v>44</v>
      </c>
      <c r="C27" s="21" t="s">
        <v>45</v>
      </c>
      <c r="D27" s="21">
        <v>27.0</v>
      </c>
      <c r="E27" s="21">
        <v>51.0</v>
      </c>
      <c r="F27" s="16">
        <f t="shared" si="10"/>
        <v>78</v>
      </c>
      <c r="G27" s="21">
        <v>69.0</v>
      </c>
      <c r="H27" s="21">
        <v>112.0</v>
      </c>
      <c r="I27" s="16">
        <f t="shared" si="11"/>
        <v>181</v>
      </c>
      <c r="J27" s="21">
        <v>8.0</v>
      </c>
      <c r="K27" s="21">
        <v>20.0</v>
      </c>
      <c r="L27" s="16">
        <f t="shared" si="12"/>
        <v>28</v>
      </c>
      <c r="M27" s="21">
        <v>30.0</v>
      </c>
      <c r="N27" s="21">
        <v>72.0</v>
      </c>
      <c r="O27" s="16">
        <f t="shared" si="13"/>
        <v>102</v>
      </c>
      <c r="P27" s="21">
        <v>25.0</v>
      </c>
      <c r="Q27" s="21">
        <v>92.0</v>
      </c>
      <c r="R27" s="16">
        <f t="shared" si="14"/>
        <v>117</v>
      </c>
      <c r="S27" s="21">
        <v>15.0</v>
      </c>
      <c r="T27" s="21">
        <f>29-15</f>
        <v>14</v>
      </c>
      <c r="U27" s="16">
        <f t="shared" si="15"/>
        <v>29</v>
      </c>
    </row>
    <row r="28">
      <c r="A28" s="19"/>
      <c r="B28" s="20" t="s">
        <v>46</v>
      </c>
      <c r="C28" s="21" t="s">
        <v>47</v>
      </c>
      <c r="D28" s="21">
        <v>21.0</v>
      </c>
      <c r="E28" s="21">
        <v>73.0</v>
      </c>
      <c r="F28" s="16">
        <f t="shared" si="10"/>
        <v>94</v>
      </c>
      <c r="G28" s="21">
        <v>44.0</v>
      </c>
      <c r="H28" s="21">
        <v>64.0</v>
      </c>
      <c r="I28" s="16">
        <f t="shared" si="11"/>
        <v>108</v>
      </c>
      <c r="J28" s="21">
        <v>19.0</v>
      </c>
      <c r="K28" s="21">
        <v>26.0</v>
      </c>
      <c r="L28" s="16">
        <f t="shared" si="12"/>
        <v>45</v>
      </c>
      <c r="M28" s="21">
        <v>2.0</v>
      </c>
      <c r="N28" s="21">
        <v>2.0</v>
      </c>
      <c r="O28" s="16">
        <f t="shared" si="13"/>
        <v>4</v>
      </c>
      <c r="P28" s="21">
        <v>10.0</v>
      </c>
      <c r="Q28" s="21">
        <v>24.0</v>
      </c>
      <c r="R28" s="16">
        <f t="shared" si="14"/>
        <v>34</v>
      </c>
      <c r="S28" s="21">
        <v>7.0</v>
      </c>
      <c r="T28" s="21">
        <v>3.0</v>
      </c>
      <c r="U28" s="16">
        <f t="shared" si="15"/>
        <v>10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1">
        <v>0.0</v>
      </c>
      <c r="H29" s="21">
        <v>0.0</v>
      </c>
      <c r="I29" s="16">
        <f t="shared" si="11"/>
        <v>0</v>
      </c>
      <c r="J29" s="23"/>
      <c r="K29" s="23"/>
      <c r="L29" s="16">
        <f t="shared" si="12"/>
        <v>0</v>
      </c>
      <c r="M29" s="21">
        <v>0.0</v>
      </c>
      <c r="N29" s="21">
        <v>0.0</v>
      </c>
      <c r="O29" s="16">
        <f t="shared" si="13"/>
        <v>0</v>
      </c>
      <c r="P29" s="21">
        <v>0.0</v>
      </c>
      <c r="Q29" s="21">
        <v>0.0</v>
      </c>
      <c r="R29" s="16">
        <f t="shared" si="14"/>
        <v>0</v>
      </c>
      <c r="S29" s="21">
        <v>0.0</v>
      </c>
      <c r="T29" s="21">
        <v>0.0</v>
      </c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1">
        <v>25.0</v>
      </c>
      <c r="E30" s="21">
        <v>83.0</v>
      </c>
      <c r="F30" s="16">
        <f t="shared" si="10"/>
        <v>108</v>
      </c>
      <c r="G30" s="21">
        <v>21.0</v>
      </c>
      <c r="H30" s="21">
        <v>24.0</v>
      </c>
      <c r="I30" s="16">
        <f t="shared" si="11"/>
        <v>45</v>
      </c>
      <c r="J30" s="21">
        <v>24.0</v>
      </c>
      <c r="K30" s="21">
        <v>47.0</v>
      </c>
      <c r="L30" s="16">
        <f t="shared" si="12"/>
        <v>71</v>
      </c>
      <c r="M30" s="21">
        <v>22.0</v>
      </c>
      <c r="N30" s="21">
        <v>44.0</v>
      </c>
      <c r="O30" s="16">
        <f t="shared" si="13"/>
        <v>66</v>
      </c>
      <c r="P30" s="21">
        <v>27.0</v>
      </c>
      <c r="Q30" s="21">
        <v>43.0</v>
      </c>
      <c r="R30" s="16">
        <f t="shared" si="14"/>
        <v>70</v>
      </c>
      <c r="S30" s="21">
        <v>10.0</v>
      </c>
      <c r="T30" s="21">
        <v>17.0</v>
      </c>
      <c r="U30" s="16">
        <f t="shared" si="15"/>
        <v>27</v>
      </c>
    </row>
    <row r="31">
      <c r="A31" s="19"/>
      <c r="B31" s="20" t="s">
        <v>52</v>
      </c>
      <c r="C31" s="21" t="s">
        <v>53</v>
      </c>
      <c r="D31" s="23"/>
      <c r="E31" s="21">
        <v>13.0</v>
      </c>
      <c r="F31" s="16">
        <f t="shared" si="10"/>
        <v>13</v>
      </c>
      <c r="G31" s="21">
        <v>0.0</v>
      </c>
      <c r="H31" s="21">
        <v>23.0</v>
      </c>
      <c r="I31" s="16">
        <f t="shared" si="11"/>
        <v>23</v>
      </c>
      <c r="J31" s="23"/>
      <c r="K31" s="23"/>
      <c r="L31" s="16">
        <f t="shared" si="12"/>
        <v>0</v>
      </c>
      <c r="M31" s="21">
        <v>0.0</v>
      </c>
      <c r="N31" s="21">
        <v>0.0</v>
      </c>
      <c r="O31" s="16">
        <f t="shared" si="13"/>
        <v>0</v>
      </c>
      <c r="P31" s="21">
        <v>0.0</v>
      </c>
      <c r="Q31" s="21">
        <v>47.0</v>
      </c>
      <c r="R31" s="16">
        <f t="shared" si="14"/>
        <v>47</v>
      </c>
      <c r="S31" s="21">
        <v>0.0</v>
      </c>
      <c r="T31" s="21">
        <v>4.0</v>
      </c>
      <c r="U31" s="16">
        <f t="shared" si="15"/>
        <v>4</v>
      </c>
    </row>
    <row r="32">
      <c r="A32" s="19"/>
      <c r="B32" s="20" t="s">
        <v>54</v>
      </c>
      <c r="C32" s="21" t="s">
        <v>55</v>
      </c>
      <c r="D32" s="21">
        <v>1.0</v>
      </c>
      <c r="E32" s="21">
        <v>41.0</v>
      </c>
      <c r="F32" s="16">
        <f t="shared" si="10"/>
        <v>42</v>
      </c>
      <c r="G32" s="21">
        <v>0.0</v>
      </c>
      <c r="H32" s="21">
        <v>26.0</v>
      </c>
      <c r="I32" s="16">
        <f t="shared" si="11"/>
        <v>26</v>
      </c>
      <c r="J32" s="21">
        <v>1.0</v>
      </c>
      <c r="K32" s="21">
        <v>29.0</v>
      </c>
      <c r="L32" s="16">
        <f t="shared" si="12"/>
        <v>30</v>
      </c>
      <c r="M32" s="21">
        <v>0.0</v>
      </c>
      <c r="N32" s="21">
        <v>17.0</v>
      </c>
      <c r="O32" s="16">
        <f t="shared" si="13"/>
        <v>17</v>
      </c>
      <c r="P32" s="21">
        <v>2.0</v>
      </c>
      <c r="Q32" s="21">
        <v>38.0</v>
      </c>
      <c r="R32" s="16">
        <f t="shared" si="14"/>
        <v>40</v>
      </c>
      <c r="S32" s="21">
        <v>0.0</v>
      </c>
      <c r="T32" s="21">
        <v>12.0</v>
      </c>
      <c r="U32" s="16">
        <f t="shared" si="15"/>
        <v>12</v>
      </c>
    </row>
    <row r="33">
      <c r="A33" s="19"/>
      <c r="B33" s="20" t="s">
        <v>56</v>
      </c>
      <c r="C33" s="21" t="s">
        <v>57</v>
      </c>
      <c r="D33" s="23"/>
      <c r="E33" s="21">
        <v>41.0</v>
      </c>
      <c r="F33" s="16">
        <f t="shared" si="10"/>
        <v>41</v>
      </c>
      <c r="G33" s="21">
        <v>0.0</v>
      </c>
      <c r="H33" s="21">
        <v>26.0</v>
      </c>
      <c r="I33" s="16">
        <f t="shared" si="11"/>
        <v>26</v>
      </c>
      <c r="J33" s="21">
        <v>1.0</v>
      </c>
      <c r="K33" s="21">
        <v>12.0</v>
      </c>
      <c r="L33" s="16">
        <f t="shared" si="12"/>
        <v>13</v>
      </c>
      <c r="M33" s="21">
        <v>3.0</v>
      </c>
      <c r="N33" s="21">
        <v>17.0</v>
      </c>
      <c r="O33" s="16">
        <f t="shared" si="13"/>
        <v>20</v>
      </c>
      <c r="P33" s="21">
        <v>2.0</v>
      </c>
      <c r="Q33" s="21">
        <v>38.0</v>
      </c>
      <c r="R33" s="16">
        <f t="shared" si="14"/>
        <v>40</v>
      </c>
      <c r="S33" s="21">
        <v>0.0</v>
      </c>
      <c r="T33" s="21">
        <v>12.0</v>
      </c>
      <c r="U33" s="16">
        <f t="shared" si="15"/>
        <v>12</v>
      </c>
    </row>
    <row r="34">
      <c r="A34" s="19"/>
      <c r="B34" s="20" t="s">
        <v>58</v>
      </c>
      <c r="C34" s="21" t="s">
        <v>59</v>
      </c>
      <c r="D34" s="21">
        <v>5.0</v>
      </c>
      <c r="E34" s="21">
        <v>43.0</v>
      </c>
      <c r="F34" s="16">
        <f t="shared" si="10"/>
        <v>48</v>
      </c>
      <c r="G34" s="21">
        <v>0.0</v>
      </c>
      <c r="H34" s="21">
        <v>27.0</v>
      </c>
      <c r="I34" s="16">
        <f t="shared" si="11"/>
        <v>27</v>
      </c>
      <c r="J34" s="21">
        <v>2.0</v>
      </c>
      <c r="K34" s="21">
        <v>31.0</v>
      </c>
      <c r="L34" s="16">
        <f t="shared" si="12"/>
        <v>33</v>
      </c>
      <c r="M34" s="21">
        <v>1.0</v>
      </c>
      <c r="N34" s="21">
        <v>17.0</v>
      </c>
      <c r="O34" s="16">
        <f t="shared" si="13"/>
        <v>18</v>
      </c>
      <c r="P34" s="21">
        <v>1.0</v>
      </c>
      <c r="Q34" s="21">
        <v>34.0</v>
      </c>
      <c r="R34" s="16">
        <f t="shared" si="14"/>
        <v>35</v>
      </c>
      <c r="S34" s="21">
        <v>0.0</v>
      </c>
      <c r="T34" s="21">
        <v>12.0</v>
      </c>
      <c r="U34" s="16">
        <f t="shared" si="15"/>
        <v>12</v>
      </c>
    </row>
    <row r="35">
      <c r="A35" s="19"/>
      <c r="B35" s="20" t="s">
        <v>60</v>
      </c>
      <c r="C35" s="21" t="s">
        <v>61</v>
      </c>
      <c r="D35" s="21">
        <v>1.0</v>
      </c>
      <c r="E35" s="21">
        <v>39.0</v>
      </c>
      <c r="F35" s="16">
        <f t="shared" si="10"/>
        <v>40</v>
      </c>
      <c r="G35" s="21">
        <v>0.0</v>
      </c>
      <c r="H35" s="21">
        <v>0.0</v>
      </c>
      <c r="I35" s="16">
        <f t="shared" si="11"/>
        <v>0</v>
      </c>
      <c r="J35" s="23"/>
      <c r="K35" s="23"/>
      <c r="L35" s="16">
        <f t="shared" si="12"/>
        <v>0</v>
      </c>
      <c r="M35" s="21">
        <v>1.0</v>
      </c>
      <c r="N35" s="21">
        <v>15.0</v>
      </c>
      <c r="O35" s="16">
        <f t="shared" si="13"/>
        <v>16</v>
      </c>
      <c r="P35" s="21">
        <v>10.0</v>
      </c>
      <c r="Q35" s="21">
        <v>36.0</v>
      </c>
      <c r="R35" s="16">
        <f t="shared" si="14"/>
        <v>46</v>
      </c>
      <c r="S35" s="21">
        <v>0.0</v>
      </c>
      <c r="T35" s="21">
        <v>9.0</v>
      </c>
      <c r="U35" s="16">
        <f t="shared" si="15"/>
        <v>9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1">
        <v>0.0</v>
      </c>
      <c r="H36" s="21">
        <v>0.0</v>
      </c>
      <c r="I36" s="16">
        <f t="shared" si="11"/>
        <v>0</v>
      </c>
      <c r="J36" s="23"/>
      <c r="K36" s="23"/>
      <c r="L36" s="16">
        <f t="shared" si="12"/>
        <v>0</v>
      </c>
      <c r="M36" s="21">
        <v>0.0</v>
      </c>
      <c r="N36" s="21">
        <v>0.0</v>
      </c>
      <c r="O36" s="16">
        <f t="shared" si="13"/>
        <v>0</v>
      </c>
      <c r="P36" s="21">
        <v>0.0</v>
      </c>
      <c r="Q36" s="21">
        <v>0.0</v>
      </c>
      <c r="R36" s="16">
        <f t="shared" si="14"/>
        <v>0</v>
      </c>
      <c r="S36" s="21">
        <v>0.0</v>
      </c>
      <c r="T36" s="21">
        <v>0.0</v>
      </c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3"/>
      <c r="H37" s="23"/>
      <c r="I37" s="16">
        <f t="shared" si="11"/>
        <v>0</v>
      </c>
      <c r="J37" s="23"/>
      <c r="K37" s="23"/>
      <c r="L37" s="16">
        <f t="shared" si="12"/>
        <v>0</v>
      </c>
      <c r="M37" s="21">
        <v>1.0</v>
      </c>
      <c r="N37" s="21">
        <v>5.0</v>
      </c>
      <c r="O37" s="16">
        <f t="shared" si="13"/>
        <v>6</v>
      </c>
      <c r="P37" s="21">
        <v>0.0</v>
      </c>
      <c r="Q37" s="21">
        <v>0.0</v>
      </c>
      <c r="R37" s="16">
        <f t="shared" si="14"/>
        <v>0</v>
      </c>
      <c r="S37" s="21">
        <v>0.0</v>
      </c>
      <c r="T37" s="21">
        <v>0.0</v>
      </c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1">
        <v>18.0</v>
      </c>
      <c r="F38" s="16">
        <f t="shared" si="10"/>
        <v>18</v>
      </c>
      <c r="G38" s="21">
        <v>0.0</v>
      </c>
      <c r="H38" s="21">
        <v>14.0</v>
      </c>
      <c r="I38" s="16">
        <f t="shared" si="11"/>
        <v>14</v>
      </c>
      <c r="J38" s="21">
        <v>0.0</v>
      </c>
      <c r="K38" s="21">
        <v>29.0</v>
      </c>
      <c r="L38" s="16">
        <f t="shared" si="12"/>
        <v>29</v>
      </c>
      <c r="M38" s="21">
        <v>0.0</v>
      </c>
      <c r="N38" s="21">
        <v>15.0</v>
      </c>
      <c r="O38" s="16">
        <f t="shared" si="13"/>
        <v>15</v>
      </c>
      <c r="P38" s="21">
        <v>0.0</v>
      </c>
      <c r="Q38" s="21">
        <v>26.0</v>
      </c>
      <c r="R38" s="16">
        <f t="shared" si="14"/>
        <v>26</v>
      </c>
      <c r="S38" s="21">
        <v>0.0</v>
      </c>
      <c r="T38" s="21">
        <v>12.0</v>
      </c>
      <c r="U38" s="16">
        <f t="shared" si="15"/>
        <v>12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1">
        <v>0.0</v>
      </c>
      <c r="H39" s="21">
        <v>0.0</v>
      </c>
      <c r="I39" s="16">
        <f t="shared" si="11"/>
        <v>0</v>
      </c>
      <c r="J39" s="23"/>
      <c r="K39" s="23"/>
      <c r="L39" s="16">
        <f t="shared" si="12"/>
        <v>0</v>
      </c>
      <c r="M39" s="21">
        <v>0.0</v>
      </c>
      <c r="N39" s="21">
        <v>0.0</v>
      </c>
      <c r="O39" s="16">
        <f t="shared" si="13"/>
        <v>0</v>
      </c>
      <c r="P39" s="21">
        <v>0.0</v>
      </c>
      <c r="Q39" s="21">
        <v>0.0</v>
      </c>
      <c r="R39" s="16">
        <f t="shared" si="14"/>
        <v>0</v>
      </c>
      <c r="S39" s="21">
        <v>0.0</v>
      </c>
      <c r="T39" s="21">
        <v>0.0</v>
      </c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1">
        <v>0.0</v>
      </c>
      <c r="H40" s="21">
        <v>0.0</v>
      </c>
      <c r="I40" s="16">
        <f t="shared" si="11"/>
        <v>0</v>
      </c>
      <c r="J40" s="21">
        <v>0.0</v>
      </c>
      <c r="K40" s="21">
        <v>1.0</v>
      </c>
      <c r="L40" s="16">
        <f t="shared" si="12"/>
        <v>1</v>
      </c>
      <c r="M40" s="21">
        <v>1.0</v>
      </c>
      <c r="N40" s="21">
        <v>13.0</v>
      </c>
      <c r="O40" s="16">
        <f t="shared" si="13"/>
        <v>14</v>
      </c>
      <c r="P40" s="21">
        <v>0.0</v>
      </c>
      <c r="Q40" s="21">
        <v>0.0</v>
      </c>
      <c r="R40" s="16">
        <f t="shared" si="14"/>
        <v>0</v>
      </c>
      <c r="S40" s="21">
        <v>0.0</v>
      </c>
      <c r="T40" s="21">
        <v>0.0</v>
      </c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1">
        <v>0.0</v>
      </c>
      <c r="H41" s="21">
        <v>0.0</v>
      </c>
      <c r="I41" s="16">
        <f t="shared" si="11"/>
        <v>0</v>
      </c>
      <c r="J41" s="23"/>
      <c r="K41" s="23"/>
      <c r="L41" s="16">
        <f t="shared" si="12"/>
        <v>0</v>
      </c>
      <c r="M41" s="21">
        <v>0.0</v>
      </c>
      <c r="N41" s="21">
        <v>0.0</v>
      </c>
      <c r="O41" s="16">
        <f t="shared" si="13"/>
        <v>0</v>
      </c>
      <c r="P41" s="21">
        <v>0.0</v>
      </c>
      <c r="Q41" s="21">
        <v>0.0</v>
      </c>
      <c r="R41" s="16">
        <f t="shared" si="14"/>
        <v>0</v>
      </c>
      <c r="S41" s="21">
        <v>0.0</v>
      </c>
      <c r="T41" s="21">
        <v>0.0</v>
      </c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55</v>
      </c>
      <c r="N46" s="16">
        <f t="shared" si="16"/>
        <v>114</v>
      </c>
      <c r="O46" s="16">
        <f t="shared" si="16"/>
        <v>169</v>
      </c>
      <c r="P46" s="16">
        <f t="shared" si="16"/>
        <v>6</v>
      </c>
      <c r="Q46" s="16">
        <f t="shared" si="16"/>
        <v>73</v>
      </c>
      <c r="R46" s="16">
        <f t="shared" si="16"/>
        <v>79</v>
      </c>
      <c r="S46" s="16">
        <f t="shared" si="16"/>
        <v>85</v>
      </c>
      <c r="T46" s="16">
        <f t="shared" si="16"/>
        <v>214</v>
      </c>
      <c r="U46" s="16">
        <f t="shared" si="16"/>
        <v>299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18</v>
      </c>
      <c r="N47" s="16">
        <f t="shared" si="17"/>
        <v>28</v>
      </c>
      <c r="O47" s="16">
        <f t="shared" si="17"/>
        <v>46</v>
      </c>
      <c r="P47" s="16">
        <f t="shared" si="17"/>
        <v>1</v>
      </c>
      <c r="Q47" s="16">
        <f t="shared" si="17"/>
        <v>16</v>
      </c>
      <c r="R47" s="16">
        <f t="shared" si="17"/>
        <v>17</v>
      </c>
      <c r="S47" s="16">
        <f t="shared" si="17"/>
        <v>28</v>
      </c>
      <c r="T47" s="16">
        <f t="shared" si="17"/>
        <v>56</v>
      </c>
      <c r="U47" s="16">
        <f t="shared" si="17"/>
        <v>84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1"/>
      <c r="K48" s="21"/>
      <c r="L48" s="16">
        <f t="shared" ref="L48:L55" si="20">SUM(J48:K48)</f>
        <v>0</v>
      </c>
      <c r="M48" s="21">
        <v>10.0</v>
      </c>
      <c r="N48" s="21">
        <v>11.0</v>
      </c>
      <c r="O48" s="16">
        <f t="shared" ref="O48:O55" si="21">SUM(M48:N48)</f>
        <v>21</v>
      </c>
      <c r="P48" s="21">
        <v>1.0</v>
      </c>
      <c r="Q48" s="21">
        <v>4.0</v>
      </c>
      <c r="R48" s="16">
        <f t="shared" ref="R48:R55" si="22">SUM(P48:Q48)</f>
        <v>5</v>
      </c>
      <c r="S48" s="21">
        <v>26.0</v>
      </c>
      <c r="T48" s="21">
        <v>34.0</v>
      </c>
      <c r="U48" s="16">
        <f t="shared" ref="U48:U55" si="23">SUM(S48:T48)</f>
        <v>60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1">
        <v>0.0</v>
      </c>
      <c r="N49" s="21">
        <v>8.0</v>
      </c>
      <c r="O49" s="16">
        <f t="shared" si="21"/>
        <v>8</v>
      </c>
      <c r="P49" s="21">
        <v>0.0</v>
      </c>
      <c r="Q49" s="21">
        <v>11.0</v>
      </c>
      <c r="R49" s="16">
        <f t="shared" si="22"/>
        <v>11</v>
      </c>
      <c r="S49" s="23"/>
      <c r="T49" s="21">
        <v>20.0</v>
      </c>
      <c r="U49" s="16">
        <f t="shared" si="23"/>
        <v>20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1">
        <v>0.0</v>
      </c>
      <c r="N50" s="21">
        <v>0.0</v>
      </c>
      <c r="O50" s="16">
        <f t="shared" si="21"/>
        <v>0</v>
      </c>
      <c r="P50" s="21">
        <v>0.0</v>
      </c>
      <c r="Q50" s="21">
        <v>1.0</v>
      </c>
      <c r="R50" s="16">
        <f t="shared" si="22"/>
        <v>1</v>
      </c>
      <c r="S50" s="21">
        <v>2.0</v>
      </c>
      <c r="T50" s="21">
        <v>1.0</v>
      </c>
      <c r="U50" s="16">
        <f t="shared" si="23"/>
        <v>3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1">
        <v>3.0</v>
      </c>
      <c r="N51" s="21">
        <v>4.0</v>
      </c>
      <c r="O51" s="16">
        <f t="shared" si="21"/>
        <v>7</v>
      </c>
      <c r="P51" s="21">
        <v>0.0</v>
      </c>
      <c r="Q51" s="21">
        <v>0.0</v>
      </c>
      <c r="R51" s="16">
        <f t="shared" si="22"/>
        <v>0</v>
      </c>
      <c r="S51" s="23"/>
      <c r="T51" s="21">
        <v>1.0</v>
      </c>
      <c r="U51" s="16">
        <f t="shared" si="23"/>
        <v>1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1">
        <v>5.0</v>
      </c>
      <c r="N52" s="21">
        <v>5.0</v>
      </c>
      <c r="O52" s="16">
        <f t="shared" si="21"/>
        <v>10</v>
      </c>
      <c r="P52" s="21">
        <v>0.0</v>
      </c>
      <c r="Q52" s="21">
        <v>0.0</v>
      </c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1">
        <v>0.0</v>
      </c>
      <c r="N53" s="21">
        <v>0.0</v>
      </c>
      <c r="O53" s="16">
        <f t="shared" si="21"/>
        <v>0</v>
      </c>
      <c r="P53" s="21">
        <v>0.0</v>
      </c>
      <c r="Q53" s="21">
        <v>0.0</v>
      </c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1">
        <v>0.0</v>
      </c>
      <c r="N54" s="21">
        <v>0.0</v>
      </c>
      <c r="O54" s="16">
        <f t="shared" si="21"/>
        <v>0</v>
      </c>
      <c r="P54" s="21">
        <v>0.0</v>
      </c>
      <c r="Q54" s="21">
        <v>0.0</v>
      </c>
      <c r="R54" s="16">
        <f t="shared" si="22"/>
        <v>0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3"/>
      <c r="N55" s="23"/>
      <c r="O55" s="16">
        <f t="shared" si="21"/>
        <v>0</v>
      </c>
      <c r="P55" s="21">
        <v>0.0</v>
      </c>
      <c r="Q55" s="21">
        <v>0.0</v>
      </c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37</v>
      </c>
      <c r="N56" s="16">
        <f t="shared" si="24"/>
        <v>86</v>
      </c>
      <c r="O56" s="16">
        <f t="shared" si="24"/>
        <v>123</v>
      </c>
      <c r="P56" s="16">
        <f t="shared" si="24"/>
        <v>5</v>
      </c>
      <c r="Q56" s="16">
        <f t="shared" si="24"/>
        <v>57</v>
      </c>
      <c r="R56" s="16">
        <f t="shared" si="24"/>
        <v>62</v>
      </c>
      <c r="S56" s="16">
        <f t="shared" si="24"/>
        <v>57</v>
      </c>
      <c r="T56" s="16">
        <f t="shared" si="24"/>
        <v>158</v>
      </c>
      <c r="U56" s="16">
        <f t="shared" si="24"/>
        <v>215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1">
        <v>0.0</v>
      </c>
      <c r="N57" s="21">
        <v>5.0</v>
      </c>
      <c r="O57" s="16">
        <f t="shared" ref="O57:O79" si="28">SUM(M57:N57)</f>
        <v>5</v>
      </c>
      <c r="P57" s="21">
        <v>0.0</v>
      </c>
      <c r="Q57" s="21">
        <v>0.0</v>
      </c>
      <c r="R57" s="16">
        <f t="shared" ref="R57:R79" si="29">SUM(P57:Q57)</f>
        <v>0</v>
      </c>
      <c r="S57" s="23"/>
      <c r="T57" s="23"/>
      <c r="U57" s="16">
        <f t="shared" ref="U57:U79" si="30">SUM(S57:T57)</f>
        <v>0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1">
        <v>5.0</v>
      </c>
      <c r="N58" s="21">
        <v>5.0</v>
      </c>
      <c r="O58" s="16">
        <f t="shared" si="28"/>
        <v>10</v>
      </c>
      <c r="P58" s="21">
        <v>1.0</v>
      </c>
      <c r="Q58" s="21">
        <v>10.0</v>
      </c>
      <c r="R58" s="16">
        <f t="shared" si="29"/>
        <v>11</v>
      </c>
      <c r="S58" s="21">
        <v>7.0</v>
      </c>
      <c r="T58" s="21">
        <v>19.0</v>
      </c>
      <c r="U58" s="16">
        <f t="shared" si="30"/>
        <v>26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1">
        <v>0.0</v>
      </c>
      <c r="N59" s="21">
        <v>0.0</v>
      </c>
      <c r="O59" s="16">
        <f t="shared" si="28"/>
        <v>0</v>
      </c>
      <c r="P59" s="21">
        <v>0.0</v>
      </c>
      <c r="Q59" s="21">
        <v>0.0</v>
      </c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1">
        <v>0.0</v>
      </c>
      <c r="N60" s="21">
        <v>0.0</v>
      </c>
      <c r="O60" s="16">
        <f t="shared" si="28"/>
        <v>0</v>
      </c>
      <c r="P60" s="21">
        <v>0.0</v>
      </c>
      <c r="Q60" s="21">
        <v>0.0</v>
      </c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1">
        <v>0.0</v>
      </c>
      <c r="N61" s="21">
        <v>0.0</v>
      </c>
      <c r="O61" s="16">
        <f t="shared" si="28"/>
        <v>0</v>
      </c>
      <c r="P61" s="21">
        <v>0.0</v>
      </c>
      <c r="Q61" s="21">
        <v>0.0</v>
      </c>
      <c r="R61" s="16">
        <f t="shared" si="29"/>
        <v>0</v>
      </c>
      <c r="S61" s="23"/>
      <c r="T61" s="23"/>
      <c r="U61" s="16">
        <f t="shared" si="30"/>
        <v>0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1">
        <v>0.0</v>
      </c>
      <c r="N62" s="21">
        <v>0.0</v>
      </c>
      <c r="O62" s="16">
        <f t="shared" si="28"/>
        <v>0</v>
      </c>
      <c r="P62" s="21">
        <v>0.0</v>
      </c>
      <c r="Q62" s="21">
        <v>0.0</v>
      </c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1">
        <v>0.0</v>
      </c>
      <c r="N63" s="21">
        <v>0.0</v>
      </c>
      <c r="O63" s="16">
        <f t="shared" si="28"/>
        <v>0</v>
      </c>
      <c r="P63" s="21">
        <v>0.0</v>
      </c>
      <c r="Q63" s="21">
        <v>3.0</v>
      </c>
      <c r="R63" s="16">
        <f t="shared" si="29"/>
        <v>3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1">
        <v>10.0</v>
      </c>
      <c r="N64" s="21">
        <v>19.0</v>
      </c>
      <c r="O64" s="16">
        <f t="shared" si="28"/>
        <v>29</v>
      </c>
      <c r="P64" s="21">
        <v>0.0</v>
      </c>
      <c r="Q64" s="21">
        <v>0.0</v>
      </c>
      <c r="R64" s="16">
        <f t="shared" si="29"/>
        <v>0</v>
      </c>
      <c r="S64" s="21">
        <v>18.0</v>
      </c>
      <c r="T64" s="21">
        <v>30.0</v>
      </c>
      <c r="U64" s="16">
        <f t="shared" si="30"/>
        <v>48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1">
        <v>10.0</v>
      </c>
      <c r="N65" s="21">
        <v>11.0</v>
      </c>
      <c r="O65" s="16">
        <f t="shared" si="28"/>
        <v>21</v>
      </c>
      <c r="P65" s="21">
        <v>0.0</v>
      </c>
      <c r="Q65" s="21">
        <v>11.0</v>
      </c>
      <c r="R65" s="16">
        <f t="shared" si="29"/>
        <v>11</v>
      </c>
      <c r="S65" s="21">
        <v>12.0</v>
      </c>
      <c r="T65" s="21">
        <v>16.0</v>
      </c>
      <c r="U65" s="16">
        <f t="shared" si="30"/>
        <v>28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1">
        <v>3.0</v>
      </c>
      <c r="N66" s="21">
        <v>6.0</v>
      </c>
      <c r="O66" s="16">
        <f t="shared" si="28"/>
        <v>9</v>
      </c>
      <c r="P66" s="21">
        <v>0.0</v>
      </c>
      <c r="Q66" s="21">
        <v>0.0</v>
      </c>
      <c r="R66" s="16">
        <f t="shared" si="29"/>
        <v>0</v>
      </c>
      <c r="S66" s="21">
        <v>4.0</v>
      </c>
      <c r="T66" s="21">
        <v>9.0</v>
      </c>
      <c r="U66" s="16">
        <f t="shared" si="30"/>
        <v>13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1">
        <v>0.0</v>
      </c>
      <c r="N67" s="21">
        <v>0.0</v>
      </c>
      <c r="O67" s="16">
        <f t="shared" si="28"/>
        <v>0</v>
      </c>
      <c r="P67" s="21">
        <v>0.0</v>
      </c>
      <c r="Q67" s="21">
        <v>0.0</v>
      </c>
      <c r="R67" s="16">
        <f t="shared" si="29"/>
        <v>0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1">
        <v>8.0</v>
      </c>
      <c r="N68" s="21">
        <v>10.0</v>
      </c>
      <c r="O68" s="16">
        <f t="shared" si="28"/>
        <v>18</v>
      </c>
      <c r="P68" s="21">
        <v>0.0</v>
      </c>
      <c r="Q68" s="21">
        <v>1.0</v>
      </c>
      <c r="R68" s="16">
        <f t="shared" si="29"/>
        <v>1</v>
      </c>
      <c r="S68" s="21">
        <v>15.0</v>
      </c>
      <c r="T68" s="21">
        <v>30.0</v>
      </c>
      <c r="U68" s="16">
        <f t="shared" si="30"/>
        <v>45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1">
        <v>0.0</v>
      </c>
      <c r="N69" s="21">
        <v>0.0</v>
      </c>
      <c r="O69" s="16">
        <f t="shared" si="28"/>
        <v>0</v>
      </c>
      <c r="P69" s="21">
        <v>0.0</v>
      </c>
      <c r="Q69" s="21">
        <v>4.0</v>
      </c>
      <c r="R69" s="16">
        <f t="shared" si="29"/>
        <v>4</v>
      </c>
      <c r="S69" s="23"/>
      <c r="T69" s="21">
        <v>11.0</v>
      </c>
      <c r="U69" s="16">
        <f t="shared" si="30"/>
        <v>11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1">
        <v>0.0</v>
      </c>
      <c r="N70" s="21">
        <v>6.0</v>
      </c>
      <c r="O70" s="16">
        <f t="shared" si="28"/>
        <v>6</v>
      </c>
      <c r="P70" s="21">
        <v>1.0</v>
      </c>
      <c r="Q70" s="21">
        <v>8.0</v>
      </c>
      <c r="R70" s="16">
        <f t="shared" si="29"/>
        <v>9</v>
      </c>
      <c r="S70" s="23"/>
      <c r="T70" s="21">
        <v>6.0</v>
      </c>
      <c r="U70" s="16">
        <f t="shared" si="30"/>
        <v>6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1">
        <v>0.0</v>
      </c>
      <c r="N71" s="21">
        <v>6.0</v>
      </c>
      <c r="O71" s="16">
        <f t="shared" si="28"/>
        <v>6</v>
      </c>
      <c r="P71" s="21">
        <v>1.0</v>
      </c>
      <c r="Q71" s="21">
        <v>7.0</v>
      </c>
      <c r="R71" s="16">
        <f t="shared" si="29"/>
        <v>8</v>
      </c>
      <c r="S71" s="23"/>
      <c r="T71" s="21">
        <v>7.0</v>
      </c>
      <c r="U71" s="16">
        <f t="shared" si="30"/>
        <v>7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1">
        <v>0.0</v>
      </c>
      <c r="N72" s="21">
        <v>6.0</v>
      </c>
      <c r="O72" s="16">
        <f t="shared" si="28"/>
        <v>6</v>
      </c>
      <c r="P72" s="21">
        <v>0.0</v>
      </c>
      <c r="Q72" s="21">
        <v>2.0</v>
      </c>
      <c r="R72" s="16">
        <f t="shared" si="29"/>
        <v>2</v>
      </c>
      <c r="S72" s="21">
        <v>1.0</v>
      </c>
      <c r="T72" s="21">
        <v>13.0</v>
      </c>
      <c r="U72" s="16">
        <f t="shared" si="30"/>
        <v>14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1">
        <v>0.0</v>
      </c>
      <c r="N73" s="21">
        <v>4.0</v>
      </c>
      <c r="O73" s="16">
        <f t="shared" si="28"/>
        <v>4</v>
      </c>
      <c r="P73" s="21">
        <v>0.0</v>
      </c>
      <c r="Q73" s="21">
        <v>6.0</v>
      </c>
      <c r="R73" s="16">
        <f t="shared" si="29"/>
        <v>6</v>
      </c>
      <c r="S73" s="23"/>
      <c r="T73" s="21">
        <v>11.0</v>
      </c>
      <c r="U73" s="16">
        <f t="shared" si="30"/>
        <v>11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1">
        <v>0.0</v>
      </c>
      <c r="N74" s="21">
        <v>0.0</v>
      </c>
      <c r="O74" s="16">
        <f t="shared" si="28"/>
        <v>0</v>
      </c>
      <c r="P74" s="21">
        <v>0.0</v>
      </c>
      <c r="Q74" s="21">
        <v>0.0</v>
      </c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1">
        <v>0.0</v>
      </c>
      <c r="N75" s="21">
        <v>0.0</v>
      </c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1">
        <v>0.0</v>
      </c>
      <c r="N76" s="21">
        <v>8.0</v>
      </c>
      <c r="O76" s="16">
        <f t="shared" si="28"/>
        <v>8</v>
      </c>
      <c r="P76" s="21">
        <v>0.0</v>
      </c>
      <c r="Q76" s="21">
        <v>5.0</v>
      </c>
      <c r="R76" s="16">
        <f t="shared" si="29"/>
        <v>5</v>
      </c>
      <c r="S76" s="23"/>
      <c r="T76" s="21">
        <v>5.0</v>
      </c>
      <c r="U76" s="16">
        <f t="shared" si="30"/>
        <v>5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1">
        <v>0.0</v>
      </c>
      <c r="N77" s="21">
        <v>0.0</v>
      </c>
      <c r="O77" s="16">
        <f t="shared" si="28"/>
        <v>0</v>
      </c>
      <c r="P77" s="21">
        <v>0.0</v>
      </c>
      <c r="Q77" s="21">
        <v>0.0</v>
      </c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1">
        <v>1.0</v>
      </c>
      <c r="N78" s="21">
        <v>0.0</v>
      </c>
      <c r="O78" s="16">
        <f t="shared" si="28"/>
        <v>1</v>
      </c>
      <c r="P78" s="21">
        <v>1.0</v>
      </c>
      <c r="Q78" s="21">
        <v>0.0</v>
      </c>
      <c r="R78" s="16">
        <f t="shared" si="29"/>
        <v>1</v>
      </c>
      <c r="S78" s="23"/>
      <c r="T78" s="21">
        <v>1.0</v>
      </c>
      <c r="U78" s="16">
        <f t="shared" si="30"/>
        <v>1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3"/>
      <c r="N79" s="23"/>
      <c r="O79" s="16">
        <f t="shared" si="28"/>
        <v>0</v>
      </c>
      <c r="P79" s="21">
        <v>1.0</v>
      </c>
      <c r="Q79" s="21">
        <v>0.0</v>
      </c>
      <c r="R79" s="16">
        <f t="shared" si="29"/>
        <v>1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18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249</v>
      </c>
      <c r="E8" s="16">
        <f t="shared" si="1"/>
        <v>991</v>
      </c>
      <c r="F8" s="16">
        <f t="shared" si="1"/>
        <v>1240</v>
      </c>
      <c r="G8" s="16">
        <f t="shared" si="1"/>
        <v>208</v>
      </c>
      <c r="H8" s="16">
        <f t="shared" si="1"/>
        <v>591</v>
      </c>
      <c r="I8" s="16">
        <f t="shared" si="1"/>
        <v>799</v>
      </c>
      <c r="J8" s="16">
        <f t="shared" si="1"/>
        <v>108</v>
      </c>
      <c r="K8" s="16">
        <f t="shared" si="1"/>
        <v>492</v>
      </c>
      <c r="L8" s="16">
        <f t="shared" si="1"/>
        <v>600</v>
      </c>
      <c r="M8" s="16">
        <f t="shared" si="1"/>
        <v>81</v>
      </c>
      <c r="N8" s="16">
        <f t="shared" si="1"/>
        <v>368</v>
      </c>
      <c r="O8" s="16">
        <f t="shared" si="1"/>
        <v>449</v>
      </c>
      <c r="P8" s="16">
        <f t="shared" si="1"/>
        <v>69</v>
      </c>
      <c r="Q8" s="16">
        <f t="shared" si="1"/>
        <v>433</v>
      </c>
      <c r="R8" s="16">
        <f t="shared" si="1"/>
        <v>502</v>
      </c>
      <c r="S8" s="16">
        <f t="shared" si="1"/>
        <v>88</v>
      </c>
      <c r="T8" s="16">
        <f t="shared" si="1"/>
        <v>197</v>
      </c>
      <c r="U8" s="16">
        <f t="shared" si="1"/>
        <v>285</v>
      </c>
    </row>
    <row r="9">
      <c r="A9" s="17">
        <v>2.0</v>
      </c>
      <c r="B9" s="18" t="s">
        <v>15</v>
      </c>
      <c r="C9" s="9"/>
      <c r="D9" s="16">
        <f t="shared" ref="D9:U9" si="2">SUM(D10:D17)</f>
        <v>39</v>
      </c>
      <c r="E9" s="16">
        <f t="shared" si="2"/>
        <v>202</v>
      </c>
      <c r="F9" s="16">
        <f t="shared" si="2"/>
        <v>241</v>
      </c>
      <c r="G9" s="16">
        <f t="shared" si="2"/>
        <v>93</v>
      </c>
      <c r="H9" s="16">
        <f t="shared" si="2"/>
        <v>169</v>
      </c>
      <c r="I9" s="16">
        <f t="shared" si="2"/>
        <v>262</v>
      </c>
      <c r="J9" s="16">
        <f t="shared" si="2"/>
        <v>54</v>
      </c>
      <c r="K9" s="16">
        <f t="shared" si="2"/>
        <v>246</v>
      </c>
      <c r="L9" s="16">
        <f t="shared" si="2"/>
        <v>300</v>
      </c>
      <c r="M9" s="16">
        <f t="shared" si="2"/>
        <v>20</v>
      </c>
      <c r="N9" s="16">
        <f t="shared" si="2"/>
        <v>107</v>
      </c>
      <c r="O9" s="16">
        <f t="shared" si="2"/>
        <v>127</v>
      </c>
      <c r="P9" s="16">
        <f t="shared" si="2"/>
        <v>22</v>
      </c>
      <c r="Q9" s="16">
        <f t="shared" si="2"/>
        <v>95</v>
      </c>
      <c r="R9" s="16">
        <f t="shared" si="2"/>
        <v>117</v>
      </c>
      <c r="S9" s="16">
        <f t="shared" si="2"/>
        <v>48</v>
      </c>
      <c r="T9" s="16">
        <f t="shared" si="2"/>
        <v>95</v>
      </c>
      <c r="U9" s="16">
        <f t="shared" si="2"/>
        <v>143</v>
      </c>
    </row>
    <row r="10">
      <c r="A10" s="19"/>
      <c r="B10" s="20" t="s">
        <v>16</v>
      </c>
      <c r="C10" s="21" t="s">
        <v>17</v>
      </c>
      <c r="D10" s="21">
        <v>36.0</v>
      </c>
      <c r="E10" s="21">
        <v>101.0</v>
      </c>
      <c r="F10" s="16">
        <f t="shared" ref="F10:F17" si="3">SUM(D10:E10)</f>
        <v>137</v>
      </c>
      <c r="G10" s="21">
        <v>82.0</v>
      </c>
      <c r="H10" s="21">
        <v>103.0</v>
      </c>
      <c r="I10" s="16">
        <f t="shared" ref="I10:I17" si="4">SUM(G10:H10)</f>
        <v>185</v>
      </c>
      <c r="J10" s="21">
        <v>54.0</v>
      </c>
      <c r="K10" s="21">
        <v>121.0</v>
      </c>
      <c r="L10" s="16">
        <f t="shared" ref="L10:L17" si="5">SUM(J10:K10)</f>
        <v>175</v>
      </c>
      <c r="M10" s="21">
        <v>17.0</v>
      </c>
      <c r="N10" s="21">
        <v>48.0</v>
      </c>
      <c r="O10" s="16">
        <f t="shared" ref="O10:O17" si="6">SUM(M10:N10)</f>
        <v>65</v>
      </c>
      <c r="P10" s="21">
        <v>18.0</v>
      </c>
      <c r="Q10" s="21">
        <v>37.0</v>
      </c>
      <c r="R10" s="16">
        <f t="shared" ref="R10:R17" si="7">SUM(P10:Q10)</f>
        <v>55</v>
      </c>
      <c r="S10" s="21">
        <v>48.0</v>
      </c>
      <c r="T10" s="21">
        <v>30.0</v>
      </c>
      <c r="U10" s="16">
        <f t="shared" ref="U10:U17" si="8">SUM(S10:T10)</f>
        <v>78</v>
      </c>
    </row>
    <row r="11">
      <c r="A11" s="19"/>
      <c r="B11" s="20" t="s">
        <v>19</v>
      </c>
      <c r="C11" s="21" t="s">
        <v>20</v>
      </c>
      <c r="D11" s="21">
        <v>3.0</v>
      </c>
      <c r="E11" s="21">
        <v>101.0</v>
      </c>
      <c r="F11" s="16">
        <f t="shared" si="3"/>
        <v>104</v>
      </c>
      <c r="G11" s="21">
        <v>0.0</v>
      </c>
      <c r="H11" s="21">
        <v>48.0</v>
      </c>
      <c r="I11" s="16">
        <f t="shared" si="4"/>
        <v>48</v>
      </c>
      <c r="J11" s="23"/>
      <c r="K11" s="21">
        <v>125.0</v>
      </c>
      <c r="L11" s="16">
        <f t="shared" si="5"/>
        <v>125</v>
      </c>
      <c r="M11" s="21">
        <v>0.0</v>
      </c>
      <c r="N11" s="21">
        <v>35.0</v>
      </c>
      <c r="O11" s="16">
        <f t="shared" si="6"/>
        <v>35</v>
      </c>
      <c r="P11" s="23"/>
      <c r="Q11" s="21">
        <v>43.0</v>
      </c>
      <c r="R11" s="16">
        <f t="shared" si="7"/>
        <v>43</v>
      </c>
      <c r="S11" s="21">
        <v>0.0</v>
      </c>
      <c r="T11" s="21">
        <v>64.0</v>
      </c>
      <c r="U11" s="16">
        <f t="shared" si="8"/>
        <v>64</v>
      </c>
    </row>
    <row r="12">
      <c r="A12" s="19"/>
      <c r="B12" s="20" t="s">
        <v>22</v>
      </c>
      <c r="C12" s="21" t="s">
        <v>23</v>
      </c>
      <c r="D12" s="21">
        <v>0.0</v>
      </c>
      <c r="E12" s="21">
        <v>0.0</v>
      </c>
      <c r="F12" s="16">
        <f t="shared" si="3"/>
        <v>0</v>
      </c>
      <c r="G12" s="21">
        <v>0.0</v>
      </c>
      <c r="H12" s="21">
        <v>0.0</v>
      </c>
      <c r="I12" s="16">
        <f t="shared" si="4"/>
        <v>0</v>
      </c>
      <c r="J12" s="23"/>
      <c r="K12" s="23"/>
      <c r="L12" s="16">
        <f t="shared" si="5"/>
        <v>0</v>
      </c>
      <c r="M12" s="21">
        <v>0.0</v>
      </c>
      <c r="N12" s="21">
        <v>0.0</v>
      </c>
      <c r="O12" s="16">
        <f t="shared" si="6"/>
        <v>0</v>
      </c>
      <c r="P12" s="21">
        <v>4.0</v>
      </c>
      <c r="Q12" s="21">
        <v>7.0</v>
      </c>
      <c r="R12" s="16">
        <f t="shared" si="7"/>
        <v>11</v>
      </c>
      <c r="S12" s="21">
        <v>0.0</v>
      </c>
      <c r="T12" s="21">
        <v>0.0</v>
      </c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1">
        <v>0.0</v>
      </c>
      <c r="E13" s="21">
        <v>0.0</v>
      </c>
      <c r="F13" s="16">
        <f t="shared" si="3"/>
        <v>0</v>
      </c>
      <c r="G13" s="21">
        <v>4.0</v>
      </c>
      <c r="H13" s="21">
        <v>4.0</v>
      </c>
      <c r="I13" s="16">
        <f t="shared" si="4"/>
        <v>8</v>
      </c>
      <c r="J13" s="23"/>
      <c r="K13" s="23"/>
      <c r="L13" s="16">
        <f t="shared" si="5"/>
        <v>0</v>
      </c>
      <c r="M13" s="21">
        <v>3.0</v>
      </c>
      <c r="N13" s="21">
        <v>3.0</v>
      </c>
      <c r="O13" s="16">
        <f t="shared" si="6"/>
        <v>6</v>
      </c>
      <c r="P13" s="21">
        <v>0.0</v>
      </c>
      <c r="Q13" s="21">
        <v>0.0</v>
      </c>
      <c r="R13" s="16">
        <f t="shared" si="7"/>
        <v>0</v>
      </c>
      <c r="S13" s="21">
        <v>0.0</v>
      </c>
      <c r="T13" s="21">
        <v>0.0</v>
      </c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1">
        <v>0.0</v>
      </c>
      <c r="E14" s="21">
        <v>0.0</v>
      </c>
      <c r="F14" s="16">
        <f t="shared" si="3"/>
        <v>0</v>
      </c>
      <c r="G14" s="21">
        <v>1.0</v>
      </c>
      <c r="H14" s="21">
        <v>2.0</v>
      </c>
      <c r="I14" s="16">
        <f t="shared" si="4"/>
        <v>3</v>
      </c>
      <c r="J14" s="23"/>
      <c r="K14" s="23"/>
      <c r="L14" s="16">
        <f t="shared" si="5"/>
        <v>0</v>
      </c>
      <c r="M14" s="21">
        <v>0.0</v>
      </c>
      <c r="N14" s="21">
        <v>2.0</v>
      </c>
      <c r="O14" s="16">
        <f t="shared" si="6"/>
        <v>2</v>
      </c>
      <c r="P14" s="21">
        <v>0.0</v>
      </c>
      <c r="Q14" s="21">
        <v>0.0</v>
      </c>
      <c r="R14" s="16">
        <f t="shared" si="7"/>
        <v>0</v>
      </c>
      <c r="S14" s="21">
        <v>0.0</v>
      </c>
      <c r="T14" s="21">
        <v>1.0</v>
      </c>
      <c r="U14" s="16">
        <f t="shared" si="8"/>
        <v>1</v>
      </c>
    </row>
    <row r="15">
      <c r="A15" s="19"/>
      <c r="B15" s="20" t="s">
        <v>29</v>
      </c>
      <c r="C15" s="21" t="s">
        <v>30</v>
      </c>
      <c r="D15" s="21">
        <v>0.0</v>
      </c>
      <c r="E15" s="21">
        <v>0.0</v>
      </c>
      <c r="F15" s="16">
        <f t="shared" si="3"/>
        <v>0</v>
      </c>
      <c r="G15" s="21">
        <v>6.0</v>
      </c>
      <c r="H15" s="21">
        <v>7.0</v>
      </c>
      <c r="I15" s="16">
        <f t="shared" si="4"/>
        <v>13</v>
      </c>
      <c r="J15" s="23"/>
      <c r="K15" s="23"/>
      <c r="L15" s="16">
        <f t="shared" si="5"/>
        <v>0</v>
      </c>
      <c r="M15" s="21">
        <v>0.0</v>
      </c>
      <c r="N15" s="21">
        <v>0.0</v>
      </c>
      <c r="O15" s="16">
        <f t="shared" si="6"/>
        <v>0</v>
      </c>
      <c r="P15" s="21">
        <v>0.0</v>
      </c>
      <c r="Q15" s="21">
        <v>1.0</v>
      </c>
      <c r="R15" s="16">
        <f t="shared" si="7"/>
        <v>1</v>
      </c>
      <c r="S15" s="21">
        <v>0.0</v>
      </c>
      <c r="T15" s="21">
        <v>0.0</v>
      </c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1">
        <v>0.0</v>
      </c>
      <c r="E16" s="21">
        <v>0.0</v>
      </c>
      <c r="F16" s="16">
        <f t="shared" si="3"/>
        <v>0</v>
      </c>
      <c r="G16" s="21">
        <v>0.0</v>
      </c>
      <c r="H16" s="21">
        <v>5.0</v>
      </c>
      <c r="I16" s="16">
        <f t="shared" si="4"/>
        <v>5</v>
      </c>
      <c r="J16" s="23"/>
      <c r="K16" s="23"/>
      <c r="L16" s="16">
        <f t="shared" si="5"/>
        <v>0</v>
      </c>
      <c r="M16" s="21">
        <v>0.0</v>
      </c>
      <c r="N16" s="21">
        <v>19.0</v>
      </c>
      <c r="O16" s="16">
        <f t="shared" si="6"/>
        <v>19</v>
      </c>
      <c r="P16" s="21">
        <v>0.0</v>
      </c>
      <c r="Q16" s="21">
        <v>7.0</v>
      </c>
      <c r="R16" s="16">
        <f t="shared" si="7"/>
        <v>7</v>
      </c>
      <c r="S16" s="21">
        <v>0.0</v>
      </c>
      <c r="T16" s="21">
        <v>0.0</v>
      </c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1">
        <v>0.0</v>
      </c>
      <c r="E17" s="21">
        <v>0.0</v>
      </c>
      <c r="F17" s="16">
        <f t="shared" si="3"/>
        <v>0</v>
      </c>
      <c r="G17" s="21">
        <v>0.0</v>
      </c>
      <c r="H17" s="21">
        <v>0.0</v>
      </c>
      <c r="I17" s="16">
        <f t="shared" si="4"/>
        <v>0</v>
      </c>
      <c r="J17" s="23"/>
      <c r="K17" s="23"/>
      <c r="L17" s="16">
        <f t="shared" si="5"/>
        <v>0</v>
      </c>
      <c r="M17" s="21">
        <v>0.0</v>
      </c>
      <c r="N17" s="21">
        <v>0.0</v>
      </c>
      <c r="O17" s="16">
        <f t="shared" si="6"/>
        <v>0</v>
      </c>
      <c r="P17" s="21">
        <v>0.0</v>
      </c>
      <c r="Q17" s="21">
        <v>0.0</v>
      </c>
      <c r="R17" s="16">
        <f t="shared" si="7"/>
        <v>0</v>
      </c>
      <c r="S17" s="21">
        <v>0.0</v>
      </c>
      <c r="T17" s="21">
        <v>0.0</v>
      </c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210</v>
      </c>
      <c r="E18" s="16">
        <f t="shared" si="9"/>
        <v>789</v>
      </c>
      <c r="F18" s="16">
        <f t="shared" si="9"/>
        <v>999</v>
      </c>
      <c r="G18" s="16">
        <f t="shared" si="9"/>
        <v>115</v>
      </c>
      <c r="H18" s="16">
        <f t="shared" si="9"/>
        <v>422</v>
      </c>
      <c r="I18" s="16">
        <f t="shared" si="9"/>
        <v>537</v>
      </c>
      <c r="J18" s="16">
        <f t="shared" si="9"/>
        <v>54</v>
      </c>
      <c r="K18" s="16">
        <f t="shared" si="9"/>
        <v>246</v>
      </c>
      <c r="L18" s="16">
        <f t="shared" si="9"/>
        <v>300</v>
      </c>
      <c r="M18" s="16">
        <f t="shared" si="9"/>
        <v>61</v>
      </c>
      <c r="N18" s="16">
        <f t="shared" si="9"/>
        <v>261</v>
      </c>
      <c r="O18" s="16">
        <f t="shared" si="9"/>
        <v>322</v>
      </c>
      <c r="P18" s="16">
        <f t="shared" si="9"/>
        <v>47</v>
      </c>
      <c r="Q18" s="16">
        <f t="shared" si="9"/>
        <v>338</v>
      </c>
      <c r="R18" s="16">
        <f t="shared" si="9"/>
        <v>385</v>
      </c>
      <c r="S18" s="16">
        <f t="shared" si="9"/>
        <v>40</v>
      </c>
      <c r="T18" s="16">
        <f t="shared" si="9"/>
        <v>102</v>
      </c>
      <c r="U18" s="16">
        <f t="shared" si="9"/>
        <v>142</v>
      </c>
    </row>
    <row r="19">
      <c r="A19" s="19"/>
      <c r="B19" s="20" t="s">
        <v>16</v>
      </c>
      <c r="C19" s="21" t="s">
        <v>36</v>
      </c>
      <c r="D19" s="21">
        <v>2.0</v>
      </c>
      <c r="E19" s="21">
        <v>21.0</v>
      </c>
      <c r="F19" s="16">
        <f t="shared" ref="F19:F41" si="10">SUM(D19:E19)</f>
        <v>23</v>
      </c>
      <c r="G19" s="21">
        <v>0.0</v>
      </c>
      <c r="H19" s="21">
        <v>20.0</v>
      </c>
      <c r="I19" s="16">
        <f t="shared" ref="I19:I41" si="11">SUM(G19:H19)</f>
        <v>20</v>
      </c>
      <c r="J19" s="21">
        <v>0.0</v>
      </c>
      <c r="K19" s="21">
        <v>12.0</v>
      </c>
      <c r="L19" s="16">
        <f t="shared" ref="L19:L41" si="12">SUM(J19:K19)</f>
        <v>12</v>
      </c>
      <c r="M19" s="21">
        <v>1.0</v>
      </c>
      <c r="N19" s="21">
        <v>4.0</v>
      </c>
      <c r="O19" s="16">
        <f t="shared" ref="O19:O41" si="13">SUM(M19:N19)</f>
        <v>5</v>
      </c>
      <c r="P19" s="21">
        <v>0.0</v>
      </c>
      <c r="Q19" s="21">
        <v>22.0</v>
      </c>
      <c r="R19" s="16">
        <f t="shared" ref="R19:R41" si="14">SUM(P19:Q19)</f>
        <v>22</v>
      </c>
      <c r="S19" s="21">
        <v>0.0</v>
      </c>
      <c r="T19" s="21">
        <v>9.0</v>
      </c>
      <c r="U19" s="16">
        <f t="shared" ref="U19:U41" si="15">SUM(S19:T19)</f>
        <v>9</v>
      </c>
    </row>
    <row r="20">
      <c r="A20" s="19"/>
      <c r="B20" s="20" t="s">
        <v>19</v>
      </c>
      <c r="C20" s="21" t="s">
        <v>37</v>
      </c>
      <c r="D20" s="21">
        <v>4.0</v>
      </c>
      <c r="E20" s="21">
        <v>82.0</v>
      </c>
      <c r="F20" s="16">
        <f t="shared" si="10"/>
        <v>86</v>
      </c>
      <c r="G20" s="21">
        <v>0.0</v>
      </c>
      <c r="H20" s="21">
        <v>53.0</v>
      </c>
      <c r="I20" s="16">
        <f t="shared" si="11"/>
        <v>53</v>
      </c>
      <c r="J20" s="21">
        <v>3.0</v>
      </c>
      <c r="K20" s="21">
        <v>30.0</v>
      </c>
      <c r="L20" s="16">
        <f t="shared" si="12"/>
        <v>33</v>
      </c>
      <c r="M20" s="21">
        <v>10.0</v>
      </c>
      <c r="N20" s="21">
        <v>70.0</v>
      </c>
      <c r="O20" s="16">
        <f t="shared" si="13"/>
        <v>80</v>
      </c>
      <c r="P20" s="21">
        <v>8.0</v>
      </c>
      <c r="Q20" s="21">
        <v>66.0</v>
      </c>
      <c r="R20" s="16">
        <f t="shared" si="14"/>
        <v>74</v>
      </c>
      <c r="S20" s="21">
        <v>3.0</v>
      </c>
      <c r="T20" s="21">
        <v>15.0</v>
      </c>
      <c r="U20" s="16">
        <f t="shared" si="15"/>
        <v>18</v>
      </c>
    </row>
    <row r="21">
      <c r="A21" s="19"/>
      <c r="B21" s="20" t="s">
        <v>22</v>
      </c>
      <c r="C21" s="21" t="s">
        <v>38</v>
      </c>
      <c r="D21" s="21"/>
      <c r="E21" s="21">
        <v>11.0</v>
      </c>
      <c r="F21" s="16">
        <f t="shared" si="10"/>
        <v>11</v>
      </c>
      <c r="G21" s="21">
        <v>0.0</v>
      </c>
      <c r="H21" s="21">
        <v>0.0</v>
      </c>
      <c r="I21" s="16">
        <f t="shared" si="11"/>
        <v>0</v>
      </c>
      <c r="J21" s="23"/>
      <c r="K21" s="23"/>
      <c r="L21" s="16">
        <f t="shared" si="12"/>
        <v>0</v>
      </c>
      <c r="M21" s="21">
        <v>0.0</v>
      </c>
      <c r="N21" s="21">
        <v>0.0</v>
      </c>
      <c r="O21" s="16">
        <f t="shared" si="13"/>
        <v>0</v>
      </c>
      <c r="P21" s="21">
        <v>3.0</v>
      </c>
      <c r="Q21" s="21">
        <v>6.0</v>
      </c>
      <c r="R21" s="16">
        <f t="shared" si="14"/>
        <v>9</v>
      </c>
      <c r="S21" s="21">
        <v>0.0</v>
      </c>
      <c r="T21" s="21">
        <v>0.0</v>
      </c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1"/>
      <c r="E22" s="21">
        <v>11.0</v>
      </c>
      <c r="F22" s="16">
        <f t="shared" si="10"/>
        <v>11</v>
      </c>
      <c r="G22" s="21">
        <v>0.0</v>
      </c>
      <c r="H22" s="21">
        <v>0.0</v>
      </c>
      <c r="I22" s="16">
        <f t="shared" si="11"/>
        <v>0</v>
      </c>
      <c r="J22" s="23"/>
      <c r="K22" s="23"/>
      <c r="L22" s="16">
        <f t="shared" si="12"/>
        <v>0</v>
      </c>
      <c r="M22" s="21">
        <v>0.0</v>
      </c>
      <c r="N22" s="21">
        <v>0.0</v>
      </c>
      <c r="O22" s="16">
        <f t="shared" si="13"/>
        <v>0</v>
      </c>
      <c r="P22" s="21">
        <v>3.0</v>
      </c>
      <c r="Q22" s="21">
        <v>6.0</v>
      </c>
      <c r="R22" s="16">
        <f t="shared" si="14"/>
        <v>9</v>
      </c>
      <c r="S22" s="21">
        <v>0.0</v>
      </c>
      <c r="T22" s="21">
        <v>0.0</v>
      </c>
      <c r="U22" s="16">
        <f t="shared" si="15"/>
        <v>0</v>
      </c>
    </row>
    <row r="23">
      <c r="A23" s="19"/>
      <c r="B23" s="20" t="s">
        <v>27</v>
      </c>
      <c r="C23" s="21" t="s">
        <v>40</v>
      </c>
      <c r="D23" s="21"/>
      <c r="E23" s="21"/>
      <c r="F23" s="16">
        <f t="shared" si="10"/>
        <v>0</v>
      </c>
      <c r="G23" s="21">
        <v>0.0</v>
      </c>
      <c r="H23" s="21">
        <v>0.0</v>
      </c>
      <c r="I23" s="16">
        <f t="shared" si="11"/>
        <v>0</v>
      </c>
      <c r="J23" s="23"/>
      <c r="K23" s="23"/>
      <c r="L23" s="16">
        <f t="shared" si="12"/>
        <v>0</v>
      </c>
      <c r="M23" s="21">
        <v>0.0</v>
      </c>
      <c r="N23" s="21">
        <v>0.0</v>
      </c>
      <c r="O23" s="16">
        <f t="shared" si="13"/>
        <v>0</v>
      </c>
      <c r="P23" s="21">
        <v>3.0</v>
      </c>
      <c r="Q23" s="21">
        <v>6.0</v>
      </c>
      <c r="R23" s="16">
        <f t="shared" si="14"/>
        <v>9</v>
      </c>
      <c r="S23" s="21">
        <v>0.0</v>
      </c>
      <c r="T23" s="21">
        <v>0.0</v>
      </c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1">
        <v>0.0</v>
      </c>
      <c r="H24" s="21">
        <v>0.0</v>
      </c>
      <c r="I24" s="16">
        <f t="shared" si="11"/>
        <v>0</v>
      </c>
      <c r="J24" s="23"/>
      <c r="K24" s="23"/>
      <c r="L24" s="16">
        <f t="shared" si="12"/>
        <v>0</v>
      </c>
      <c r="M24" s="21">
        <v>0.0</v>
      </c>
      <c r="N24" s="21">
        <v>0.0</v>
      </c>
      <c r="O24" s="16">
        <f t="shared" si="13"/>
        <v>0</v>
      </c>
      <c r="P24" s="21">
        <v>0.0</v>
      </c>
      <c r="Q24" s="21">
        <v>0.0</v>
      </c>
      <c r="R24" s="16">
        <f t="shared" si="14"/>
        <v>0</v>
      </c>
      <c r="S24" s="21">
        <v>0.0</v>
      </c>
      <c r="T24" s="21">
        <v>1.0</v>
      </c>
      <c r="U24" s="16">
        <f t="shared" si="15"/>
        <v>1</v>
      </c>
    </row>
    <row r="25">
      <c r="A25" s="19"/>
      <c r="B25" s="20" t="s">
        <v>31</v>
      </c>
      <c r="C25" s="21" t="s">
        <v>42</v>
      </c>
      <c r="D25" s="23"/>
      <c r="E25" s="21">
        <v>19.0</v>
      </c>
      <c r="F25" s="16">
        <f t="shared" si="10"/>
        <v>19</v>
      </c>
      <c r="G25" s="21">
        <v>0.0</v>
      </c>
      <c r="H25" s="21">
        <v>23.0</v>
      </c>
      <c r="I25" s="16">
        <f t="shared" si="11"/>
        <v>23</v>
      </c>
      <c r="J25" s="23"/>
      <c r="K25" s="23"/>
      <c r="L25" s="16">
        <f t="shared" si="12"/>
        <v>0</v>
      </c>
      <c r="M25" s="21">
        <v>0.0</v>
      </c>
      <c r="N25" s="21">
        <v>0.0</v>
      </c>
      <c r="O25" s="16">
        <f t="shared" si="13"/>
        <v>0</v>
      </c>
      <c r="P25" s="21">
        <v>0.0</v>
      </c>
      <c r="Q25" s="21">
        <v>0.0</v>
      </c>
      <c r="R25" s="16">
        <f t="shared" si="14"/>
        <v>0</v>
      </c>
      <c r="S25" s="21">
        <v>0.0</v>
      </c>
      <c r="T25" s="21">
        <v>0.0</v>
      </c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1">
        <v>30.0</v>
      </c>
      <c r="E26" s="21">
        <v>58.0</v>
      </c>
      <c r="F26" s="16">
        <f t="shared" si="10"/>
        <v>88</v>
      </c>
      <c r="G26" s="21">
        <v>19.0</v>
      </c>
      <c r="H26" s="21">
        <v>32.0</v>
      </c>
      <c r="I26" s="16">
        <f t="shared" si="11"/>
        <v>51</v>
      </c>
      <c r="J26" s="21">
        <v>15.0</v>
      </c>
      <c r="K26" s="21">
        <v>40.0</v>
      </c>
      <c r="L26" s="16">
        <f t="shared" si="12"/>
        <v>55</v>
      </c>
      <c r="M26" s="21">
        <v>8.0</v>
      </c>
      <c r="N26" s="21">
        <v>28.0</v>
      </c>
      <c r="O26" s="16">
        <f t="shared" si="13"/>
        <v>36</v>
      </c>
      <c r="P26" s="21">
        <v>1.0</v>
      </c>
      <c r="Q26" s="21">
        <v>0.0</v>
      </c>
      <c r="R26" s="16">
        <f t="shared" si="14"/>
        <v>1</v>
      </c>
      <c r="S26" s="21">
        <v>0.0</v>
      </c>
      <c r="T26" s="21">
        <v>0.0</v>
      </c>
      <c r="U26" s="16">
        <f t="shared" si="15"/>
        <v>0</v>
      </c>
    </row>
    <row r="27">
      <c r="A27" s="19"/>
      <c r="B27" s="20" t="s">
        <v>44</v>
      </c>
      <c r="C27" s="21" t="s">
        <v>45</v>
      </c>
      <c r="D27" s="21">
        <v>67.0</v>
      </c>
      <c r="E27" s="21">
        <v>155.0</v>
      </c>
      <c r="F27" s="16">
        <f t="shared" si="10"/>
        <v>222</v>
      </c>
      <c r="G27" s="21">
        <v>55.0</v>
      </c>
      <c r="H27" s="21">
        <v>110.0</v>
      </c>
      <c r="I27" s="16">
        <f t="shared" si="11"/>
        <v>165</v>
      </c>
      <c r="J27" s="21">
        <v>8.0</v>
      </c>
      <c r="K27" s="21">
        <v>11.0</v>
      </c>
      <c r="L27" s="16">
        <f t="shared" si="12"/>
        <v>19</v>
      </c>
      <c r="M27" s="21">
        <v>19.0</v>
      </c>
      <c r="N27" s="21">
        <v>58.0</v>
      </c>
      <c r="O27" s="16">
        <f t="shared" si="13"/>
        <v>77</v>
      </c>
      <c r="P27" s="21">
        <v>4.0</v>
      </c>
      <c r="Q27" s="21">
        <v>54.0</v>
      </c>
      <c r="R27" s="16">
        <f t="shared" si="14"/>
        <v>58</v>
      </c>
      <c r="S27" s="21">
        <v>11.0</v>
      </c>
      <c r="T27" s="21">
        <v>8.0</v>
      </c>
      <c r="U27" s="16">
        <f t="shared" si="15"/>
        <v>19</v>
      </c>
    </row>
    <row r="28">
      <c r="A28" s="19"/>
      <c r="B28" s="20" t="s">
        <v>46</v>
      </c>
      <c r="C28" s="21" t="s">
        <v>47</v>
      </c>
      <c r="D28" s="21">
        <v>30.0</v>
      </c>
      <c r="E28" s="21">
        <v>71.0</v>
      </c>
      <c r="F28" s="16">
        <f t="shared" si="10"/>
        <v>101</v>
      </c>
      <c r="G28" s="21">
        <v>25.0</v>
      </c>
      <c r="H28" s="21">
        <v>39.0</v>
      </c>
      <c r="I28" s="16">
        <f t="shared" si="11"/>
        <v>64</v>
      </c>
      <c r="J28" s="21">
        <v>8.0</v>
      </c>
      <c r="K28" s="21">
        <v>18.0</v>
      </c>
      <c r="L28" s="16">
        <f t="shared" si="12"/>
        <v>26</v>
      </c>
      <c r="M28" s="21">
        <v>1.0</v>
      </c>
      <c r="N28" s="21">
        <v>5.0</v>
      </c>
      <c r="O28" s="16">
        <f t="shared" si="13"/>
        <v>6</v>
      </c>
      <c r="P28" s="21">
        <v>6.0</v>
      </c>
      <c r="Q28" s="21">
        <v>19.0</v>
      </c>
      <c r="R28" s="16">
        <f t="shared" si="14"/>
        <v>25</v>
      </c>
      <c r="S28" s="21">
        <v>8.0</v>
      </c>
      <c r="T28" s="21">
        <v>6.0</v>
      </c>
      <c r="U28" s="16">
        <f t="shared" si="15"/>
        <v>14</v>
      </c>
    </row>
    <row r="29">
      <c r="A29" s="19"/>
      <c r="B29" s="20" t="s">
        <v>48</v>
      </c>
      <c r="C29" s="21" t="s">
        <v>80</v>
      </c>
      <c r="D29" s="23"/>
      <c r="E29" s="23"/>
      <c r="F29" s="16">
        <f t="shared" si="10"/>
        <v>0</v>
      </c>
      <c r="G29" s="21">
        <v>0.0</v>
      </c>
      <c r="H29" s="21">
        <v>0.0</v>
      </c>
      <c r="I29" s="16">
        <f t="shared" si="11"/>
        <v>0</v>
      </c>
      <c r="J29" s="21">
        <v>0.0</v>
      </c>
      <c r="K29" s="21">
        <v>2.0</v>
      </c>
      <c r="L29" s="16">
        <f t="shared" si="12"/>
        <v>2</v>
      </c>
      <c r="M29" s="21">
        <v>0.0</v>
      </c>
      <c r="N29" s="21">
        <v>0.0</v>
      </c>
      <c r="O29" s="16">
        <f t="shared" si="13"/>
        <v>0</v>
      </c>
      <c r="P29" s="21">
        <v>0.0</v>
      </c>
      <c r="Q29" s="21">
        <v>0.0</v>
      </c>
      <c r="R29" s="16">
        <f t="shared" si="14"/>
        <v>0</v>
      </c>
      <c r="S29" s="21">
        <v>0.0</v>
      </c>
      <c r="T29" s="21">
        <v>0.0</v>
      </c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1">
        <v>34.0</v>
      </c>
      <c r="E30" s="21">
        <v>115.0</v>
      </c>
      <c r="F30" s="16">
        <f t="shared" si="10"/>
        <v>149</v>
      </c>
      <c r="G30" s="21">
        <v>16.0</v>
      </c>
      <c r="H30" s="21">
        <v>30.0</v>
      </c>
      <c r="I30" s="16">
        <f t="shared" si="11"/>
        <v>46</v>
      </c>
      <c r="J30" s="21">
        <v>19.0</v>
      </c>
      <c r="K30" s="21">
        <v>43.0</v>
      </c>
      <c r="L30" s="16">
        <f t="shared" si="12"/>
        <v>62</v>
      </c>
      <c r="M30" s="21">
        <v>13.0</v>
      </c>
      <c r="N30" s="21">
        <v>35.0</v>
      </c>
      <c r="O30" s="16">
        <f t="shared" si="13"/>
        <v>48</v>
      </c>
      <c r="P30" s="21">
        <v>7.0</v>
      </c>
      <c r="Q30" s="21">
        <v>13.0</v>
      </c>
      <c r="R30" s="16">
        <f t="shared" si="14"/>
        <v>20</v>
      </c>
      <c r="S30" s="23">
        <f>25-T30</f>
        <v>18</v>
      </c>
      <c r="T30" s="21">
        <v>7.0</v>
      </c>
      <c r="U30" s="16">
        <f t="shared" si="15"/>
        <v>25</v>
      </c>
    </row>
    <row r="31">
      <c r="A31" s="19"/>
      <c r="B31" s="20" t="s">
        <v>52</v>
      </c>
      <c r="C31" s="21" t="s">
        <v>53</v>
      </c>
      <c r="D31" s="23"/>
      <c r="E31" s="21">
        <v>24.0</v>
      </c>
      <c r="F31" s="16">
        <f t="shared" si="10"/>
        <v>24</v>
      </c>
      <c r="G31" s="21">
        <v>0.0</v>
      </c>
      <c r="H31" s="21">
        <v>23.0</v>
      </c>
      <c r="I31" s="16">
        <f t="shared" si="11"/>
        <v>23</v>
      </c>
      <c r="J31" s="21">
        <v>0.0</v>
      </c>
      <c r="K31" s="21">
        <v>1.0</v>
      </c>
      <c r="L31" s="16">
        <f t="shared" si="12"/>
        <v>1</v>
      </c>
      <c r="M31" s="21">
        <v>0.0</v>
      </c>
      <c r="N31" s="21">
        <v>0.0</v>
      </c>
      <c r="O31" s="16">
        <f t="shared" si="13"/>
        <v>0</v>
      </c>
      <c r="P31" s="21">
        <v>0.0</v>
      </c>
      <c r="Q31" s="21">
        <v>35.0</v>
      </c>
      <c r="R31" s="16">
        <f t="shared" si="14"/>
        <v>35</v>
      </c>
      <c r="S31" s="21">
        <v>0.0</v>
      </c>
      <c r="T31" s="21">
        <v>5.0</v>
      </c>
      <c r="U31" s="16">
        <f t="shared" si="15"/>
        <v>5</v>
      </c>
    </row>
    <row r="32">
      <c r="A32" s="19"/>
      <c r="B32" s="20" t="s">
        <v>54</v>
      </c>
      <c r="C32" s="21" t="s">
        <v>55</v>
      </c>
      <c r="D32" s="21">
        <v>9.0</v>
      </c>
      <c r="E32" s="21">
        <v>40.0</v>
      </c>
      <c r="F32" s="16">
        <f t="shared" si="10"/>
        <v>49</v>
      </c>
      <c r="G32" s="21">
        <v>0.0</v>
      </c>
      <c r="H32" s="21">
        <v>27.0</v>
      </c>
      <c r="I32" s="16">
        <f t="shared" si="11"/>
        <v>27</v>
      </c>
      <c r="J32" s="21">
        <v>0.0</v>
      </c>
      <c r="K32" s="21">
        <v>21.0</v>
      </c>
      <c r="L32" s="16">
        <f t="shared" si="12"/>
        <v>21</v>
      </c>
      <c r="M32" s="21">
        <v>1.0</v>
      </c>
      <c r="N32" s="21">
        <v>13.0</v>
      </c>
      <c r="O32" s="16">
        <f t="shared" si="13"/>
        <v>14</v>
      </c>
      <c r="P32" s="21">
        <v>0.0</v>
      </c>
      <c r="Q32" s="21">
        <v>23.0</v>
      </c>
      <c r="R32" s="16">
        <f t="shared" si="14"/>
        <v>23</v>
      </c>
      <c r="S32" s="21">
        <v>0.0</v>
      </c>
      <c r="T32" s="21">
        <v>14.0</v>
      </c>
      <c r="U32" s="16">
        <f t="shared" si="15"/>
        <v>14</v>
      </c>
    </row>
    <row r="33">
      <c r="A33" s="19"/>
      <c r="B33" s="20" t="s">
        <v>56</v>
      </c>
      <c r="C33" s="21" t="s">
        <v>57</v>
      </c>
      <c r="D33" s="21">
        <v>8.0</v>
      </c>
      <c r="E33" s="21">
        <v>40.0</v>
      </c>
      <c r="F33" s="16">
        <f t="shared" si="10"/>
        <v>48</v>
      </c>
      <c r="G33" s="21">
        <v>0.0</v>
      </c>
      <c r="H33" s="21">
        <v>27.0</v>
      </c>
      <c r="I33" s="16">
        <f t="shared" si="11"/>
        <v>27</v>
      </c>
      <c r="J33" s="21">
        <v>0.0</v>
      </c>
      <c r="K33" s="21">
        <v>19.0</v>
      </c>
      <c r="L33" s="16">
        <f t="shared" si="12"/>
        <v>19</v>
      </c>
      <c r="M33" s="21">
        <v>1.0</v>
      </c>
      <c r="N33" s="21">
        <v>12.0</v>
      </c>
      <c r="O33" s="16">
        <f t="shared" si="13"/>
        <v>13</v>
      </c>
      <c r="P33" s="21">
        <v>0.0</v>
      </c>
      <c r="Q33" s="21">
        <v>23.0</v>
      </c>
      <c r="R33" s="16">
        <f t="shared" si="14"/>
        <v>23</v>
      </c>
      <c r="S33" s="21">
        <v>0.0</v>
      </c>
      <c r="T33" s="21">
        <v>14.0</v>
      </c>
      <c r="U33" s="16">
        <f t="shared" si="15"/>
        <v>14</v>
      </c>
    </row>
    <row r="34">
      <c r="A34" s="19"/>
      <c r="B34" s="20" t="s">
        <v>58</v>
      </c>
      <c r="C34" s="21" t="s">
        <v>59</v>
      </c>
      <c r="D34" s="21">
        <v>24.0</v>
      </c>
      <c r="E34" s="21">
        <v>70.0</v>
      </c>
      <c r="F34" s="16">
        <f t="shared" si="10"/>
        <v>94</v>
      </c>
      <c r="G34" s="21">
        <v>0.0</v>
      </c>
      <c r="H34" s="21">
        <v>30.0</v>
      </c>
      <c r="I34" s="16">
        <f t="shared" si="11"/>
        <v>30</v>
      </c>
      <c r="J34" s="21">
        <v>1.0</v>
      </c>
      <c r="K34" s="21">
        <v>24.0</v>
      </c>
      <c r="L34" s="16">
        <f t="shared" si="12"/>
        <v>25</v>
      </c>
      <c r="M34" s="21">
        <v>3.0</v>
      </c>
      <c r="N34" s="21">
        <v>12.0</v>
      </c>
      <c r="O34" s="16">
        <f t="shared" si="13"/>
        <v>15</v>
      </c>
      <c r="P34" s="21">
        <v>0.0</v>
      </c>
      <c r="Q34" s="21">
        <v>23.0</v>
      </c>
      <c r="R34" s="16">
        <f t="shared" si="14"/>
        <v>23</v>
      </c>
      <c r="S34" s="21">
        <v>0.0</v>
      </c>
      <c r="T34" s="21">
        <v>14.0</v>
      </c>
      <c r="U34" s="16">
        <f t="shared" si="15"/>
        <v>14</v>
      </c>
    </row>
    <row r="35">
      <c r="A35" s="19"/>
      <c r="B35" s="20" t="s">
        <v>60</v>
      </c>
      <c r="C35" s="21" t="s">
        <v>61</v>
      </c>
      <c r="D35" s="21">
        <v>2.0</v>
      </c>
      <c r="E35" s="21">
        <v>37.0</v>
      </c>
      <c r="F35" s="16">
        <f t="shared" si="10"/>
        <v>39</v>
      </c>
      <c r="G35" s="21">
        <v>0.0</v>
      </c>
      <c r="H35" s="21">
        <v>0.0</v>
      </c>
      <c r="I35" s="16">
        <f t="shared" si="11"/>
        <v>0</v>
      </c>
      <c r="J35" s="23"/>
      <c r="K35" s="23"/>
      <c r="L35" s="16">
        <f t="shared" si="12"/>
        <v>0</v>
      </c>
      <c r="M35" s="21">
        <v>2.0</v>
      </c>
      <c r="N35" s="21">
        <v>12.0</v>
      </c>
      <c r="O35" s="16">
        <f t="shared" si="13"/>
        <v>14</v>
      </c>
      <c r="P35" s="21">
        <v>12.0</v>
      </c>
      <c r="Q35" s="21">
        <v>27.0</v>
      </c>
      <c r="R35" s="16">
        <f t="shared" si="14"/>
        <v>39</v>
      </c>
      <c r="S35" s="21">
        <v>0.0</v>
      </c>
      <c r="T35" s="21">
        <v>2.0</v>
      </c>
      <c r="U35" s="16">
        <f t="shared" si="15"/>
        <v>2</v>
      </c>
    </row>
    <row r="36">
      <c r="A36" s="19"/>
      <c r="B36" s="20" t="s">
        <v>62</v>
      </c>
      <c r="C36" s="21" t="s">
        <v>63</v>
      </c>
      <c r="D36" s="21"/>
      <c r="E36" s="21"/>
      <c r="F36" s="16">
        <f t="shared" si="10"/>
        <v>0</v>
      </c>
      <c r="G36" s="21">
        <v>0.0</v>
      </c>
      <c r="H36" s="21">
        <v>0.0</v>
      </c>
      <c r="I36" s="16">
        <f t="shared" si="11"/>
        <v>0</v>
      </c>
      <c r="J36" s="23"/>
      <c r="K36" s="23"/>
      <c r="L36" s="16">
        <f t="shared" si="12"/>
        <v>0</v>
      </c>
      <c r="M36" s="21">
        <v>0.0</v>
      </c>
      <c r="N36" s="21">
        <v>0.0</v>
      </c>
      <c r="O36" s="16">
        <f t="shared" si="13"/>
        <v>0</v>
      </c>
      <c r="P36" s="21">
        <v>0.0</v>
      </c>
      <c r="Q36" s="21">
        <v>0.0</v>
      </c>
      <c r="R36" s="16">
        <f t="shared" si="14"/>
        <v>0</v>
      </c>
      <c r="S36" s="21">
        <v>0.0</v>
      </c>
      <c r="T36" s="21">
        <v>0.0</v>
      </c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1">
        <v>0.0</v>
      </c>
      <c r="H37" s="21">
        <v>0.0</v>
      </c>
      <c r="I37" s="16">
        <f t="shared" si="11"/>
        <v>0</v>
      </c>
      <c r="J37" s="23"/>
      <c r="K37" s="23"/>
      <c r="L37" s="16">
        <f t="shared" si="12"/>
        <v>0</v>
      </c>
      <c r="M37" s="21">
        <v>2.0</v>
      </c>
      <c r="N37" s="21">
        <v>1.0</v>
      </c>
      <c r="O37" s="16">
        <f t="shared" si="13"/>
        <v>3</v>
      </c>
      <c r="P37" s="21">
        <v>0.0</v>
      </c>
      <c r="Q37" s="21">
        <v>0.0</v>
      </c>
      <c r="R37" s="16">
        <f t="shared" si="14"/>
        <v>0</v>
      </c>
      <c r="S37" s="21">
        <v>0.0</v>
      </c>
      <c r="T37" s="21">
        <v>0.0</v>
      </c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1">
        <v>35.0</v>
      </c>
      <c r="F38" s="16">
        <f t="shared" si="10"/>
        <v>35</v>
      </c>
      <c r="G38" s="21">
        <v>0.0</v>
      </c>
      <c r="H38" s="21">
        <v>8.0</v>
      </c>
      <c r="I38" s="16">
        <f t="shared" si="11"/>
        <v>8</v>
      </c>
      <c r="J38" s="21">
        <v>0.0</v>
      </c>
      <c r="K38" s="21">
        <v>23.0</v>
      </c>
      <c r="L38" s="16">
        <f t="shared" si="12"/>
        <v>23</v>
      </c>
      <c r="M38" s="21">
        <v>0.0</v>
      </c>
      <c r="N38" s="21">
        <v>3.0</v>
      </c>
      <c r="O38" s="16">
        <f t="shared" si="13"/>
        <v>3</v>
      </c>
      <c r="P38" s="21">
        <v>0.0</v>
      </c>
      <c r="Q38" s="21">
        <v>13.0</v>
      </c>
      <c r="R38" s="16">
        <f t="shared" si="14"/>
        <v>13</v>
      </c>
      <c r="S38" s="21">
        <v>0.0</v>
      </c>
      <c r="T38" s="21">
        <v>7.0</v>
      </c>
      <c r="U38" s="16">
        <f t="shared" si="15"/>
        <v>7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1">
        <v>0.0</v>
      </c>
      <c r="H39" s="21">
        <v>0.0</v>
      </c>
      <c r="I39" s="16">
        <f t="shared" si="11"/>
        <v>0</v>
      </c>
      <c r="J39" s="23"/>
      <c r="K39" s="23"/>
      <c r="L39" s="16">
        <f t="shared" si="12"/>
        <v>0</v>
      </c>
      <c r="M39" s="21">
        <v>0.0</v>
      </c>
      <c r="N39" s="21">
        <v>0.0</v>
      </c>
      <c r="O39" s="16">
        <f t="shared" si="13"/>
        <v>0</v>
      </c>
      <c r="P39" s="21">
        <v>0.0</v>
      </c>
      <c r="Q39" s="21">
        <v>0.0</v>
      </c>
      <c r="R39" s="16">
        <f t="shared" si="14"/>
        <v>0</v>
      </c>
      <c r="S39" s="21">
        <v>0.0</v>
      </c>
      <c r="T39" s="21">
        <v>0.0</v>
      </c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1">
        <v>0.0</v>
      </c>
      <c r="H40" s="21">
        <v>0.0</v>
      </c>
      <c r="I40" s="16">
        <f t="shared" si="11"/>
        <v>0</v>
      </c>
      <c r="J40" s="21">
        <v>0.0</v>
      </c>
      <c r="K40" s="21">
        <v>2.0</v>
      </c>
      <c r="L40" s="16">
        <f t="shared" si="12"/>
        <v>2</v>
      </c>
      <c r="M40" s="21">
        <v>0.0</v>
      </c>
      <c r="N40" s="21">
        <v>8.0</v>
      </c>
      <c r="O40" s="16">
        <f t="shared" si="13"/>
        <v>8</v>
      </c>
      <c r="P40" s="21">
        <v>0.0</v>
      </c>
      <c r="Q40" s="21">
        <v>2.0</v>
      </c>
      <c r="R40" s="16">
        <f t="shared" si="14"/>
        <v>2</v>
      </c>
      <c r="S40" s="21">
        <v>0.0</v>
      </c>
      <c r="T40" s="21">
        <v>0.0</v>
      </c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1">
        <v>0.0</v>
      </c>
      <c r="H41" s="21">
        <v>0.0</v>
      </c>
      <c r="I41" s="16">
        <f t="shared" si="11"/>
        <v>0</v>
      </c>
      <c r="J41" s="23"/>
      <c r="K41" s="23"/>
      <c r="L41" s="16">
        <f t="shared" si="12"/>
        <v>0</v>
      </c>
      <c r="M41" s="21">
        <v>0.0</v>
      </c>
      <c r="N41" s="21">
        <v>0.0</v>
      </c>
      <c r="O41" s="16">
        <f t="shared" si="13"/>
        <v>0</v>
      </c>
      <c r="P41" s="21">
        <v>0.0</v>
      </c>
      <c r="Q41" s="21">
        <v>0.0</v>
      </c>
      <c r="R41" s="16">
        <f t="shared" si="14"/>
        <v>0</v>
      </c>
      <c r="S41" s="21">
        <v>0.0</v>
      </c>
      <c r="T41" s="21">
        <v>0.0</v>
      </c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82</v>
      </c>
      <c r="N46" s="16">
        <f t="shared" si="16"/>
        <v>266</v>
      </c>
      <c r="O46" s="16">
        <f t="shared" si="16"/>
        <v>348</v>
      </c>
      <c r="P46" s="16">
        <f t="shared" si="16"/>
        <v>0</v>
      </c>
      <c r="Q46" s="16">
        <f t="shared" si="16"/>
        <v>49</v>
      </c>
      <c r="R46" s="16">
        <f t="shared" si="16"/>
        <v>49</v>
      </c>
      <c r="S46" s="16">
        <f t="shared" si="16"/>
        <v>37</v>
      </c>
      <c r="T46" s="16">
        <f t="shared" si="16"/>
        <v>191</v>
      </c>
      <c r="U46" s="16">
        <f t="shared" si="16"/>
        <v>228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20</v>
      </c>
      <c r="N47" s="16">
        <f t="shared" si="17"/>
        <v>67</v>
      </c>
      <c r="O47" s="16">
        <f t="shared" si="17"/>
        <v>87</v>
      </c>
      <c r="P47" s="16">
        <f t="shared" si="17"/>
        <v>0</v>
      </c>
      <c r="Q47" s="16">
        <f t="shared" si="17"/>
        <v>10</v>
      </c>
      <c r="R47" s="16">
        <f t="shared" si="17"/>
        <v>10</v>
      </c>
      <c r="S47" s="16">
        <f t="shared" si="17"/>
        <v>13</v>
      </c>
      <c r="T47" s="16">
        <f t="shared" si="17"/>
        <v>50</v>
      </c>
      <c r="U47" s="16">
        <f t="shared" si="17"/>
        <v>63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1">
        <v>11.0</v>
      </c>
      <c r="N48" s="21">
        <v>34.0</v>
      </c>
      <c r="O48" s="16">
        <f t="shared" ref="O48:O55" si="21">SUM(M48:N48)</f>
        <v>45</v>
      </c>
      <c r="P48" s="21">
        <v>0.0</v>
      </c>
      <c r="Q48" s="21">
        <v>1.0</v>
      </c>
      <c r="R48" s="16">
        <f t="shared" ref="R48:R55" si="22">SUM(P48:Q48)</f>
        <v>1</v>
      </c>
      <c r="S48" s="21">
        <v>13.0</v>
      </c>
      <c r="T48" s="21">
        <v>32.0</v>
      </c>
      <c r="U48" s="16">
        <f t="shared" ref="U48:U55" si="23">SUM(S48:T48)</f>
        <v>45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1">
        <v>0.0</v>
      </c>
      <c r="N49" s="21">
        <v>13.0</v>
      </c>
      <c r="O49" s="16">
        <f t="shared" si="21"/>
        <v>13</v>
      </c>
      <c r="P49" s="21">
        <v>0.0</v>
      </c>
      <c r="Q49" s="21">
        <v>6.0</v>
      </c>
      <c r="R49" s="16">
        <f t="shared" si="22"/>
        <v>6</v>
      </c>
      <c r="S49" s="23"/>
      <c r="T49" s="21">
        <v>17.0</v>
      </c>
      <c r="U49" s="16">
        <f t="shared" si="23"/>
        <v>17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1">
        <v>2.0</v>
      </c>
      <c r="N50" s="21">
        <v>1.0</v>
      </c>
      <c r="O50" s="16">
        <f t="shared" si="21"/>
        <v>3</v>
      </c>
      <c r="P50" s="21">
        <v>0.0</v>
      </c>
      <c r="Q50" s="21">
        <v>3.0</v>
      </c>
      <c r="R50" s="16">
        <f t="shared" si="22"/>
        <v>3</v>
      </c>
      <c r="S50" s="23"/>
      <c r="T50" s="23"/>
      <c r="U50" s="16">
        <f t="shared" si="23"/>
        <v>0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1">
        <v>2.0</v>
      </c>
      <c r="N51" s="21">
        <v>6.0</v>
      </c>
      <c r="O51" s="16">
        <f t="shared" si="21"/>
        <v>8</v>
      </c>
      <c r="P51" s="21">
        <v>0.0</v>
      </c>
      <c r="Q51" s="21">
        <v>0.0</v>
      </c>
      <c r="R51" s="16">
        <f t="shared" si="22"/>
        <v>0</v>
      </c>
      <c r="S51" s="23"/>
      <c r="T51" s="21">
        <v>1.0</v>
      </c>
      <c r="U51" s="16">
        <f t="shared" si="23"/>
        <v>1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1">
        <v>5.0</v>
      </c>
      <c r="N52" s="21">
        <v>13.0</v>
      </c>
      <c r="O52" s="16">
        <f t="shared" si="21"/>
        <v>18</v>
      </c>
      <c r="P52" s="21">
        <v>0.0</v>
      </c>
      <c r="Q52" s="21">
        <v>0.0</v>
      </c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1">
        <v>0.0</v>
      </c>
      <c r="N53" s="21">
        <v>0.0</v>
      </c>
      <c r="O53" s="16">
        <f t="shared" si="21"/>
        <v>0</v>
      </c>
      <c r="P53" s="21">
        <v>0.0</v>
      </c>
      <c r="Q53" s="21">
        <v>0.0</v>
      </c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1">
        <v>0.0</v>
      </c>
      <c r="N54" s="21">
        <v>0.0</v>
      </c>
      <c r="O54" s="16">
        <f t="shared" si="21"/>
        <v>0</v>
      </c>
      <c r="P54" s="21">
        <v>0.0</v>
      </c>
      <c r="Q54" s="21">
        <v>0.0</v>
      </c>
      <c r="R54" s="16">
        <f t="shared" si="22"/>
        <v>0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3"/>
      <c r="N55" s="23"/>
      <c r="O55" s="16">
        <f t="shared" si="21"/>
        <v>0</v>
      </c>
      <c r="P55" s="21">
        <v>0.0</v>
      </c>
      <c r="Q55" s="21">
        <v>0.0</v>
      </c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62</v>
      </c>
      <c r="N56" s="16">
        <f t="shared" si="24"/>
        <v>199</v>
      </c>
      <c r="O56" s="16">
        <f t="shared" si="24"/>
        <v>261</v>
      </c>
      <c r="P56" s="16">
        <f t="shared" si="24"/>
        <v>0</v>
      </c>
      <c r="Q56" s="16">
        <f t="shared" si="24"/>
        <v>39</v>
      </c>
      <c r="R56" s="16">
        <f t="shared" si="24"/>
        <v>39</v>
      </c>
      <c r="S56" s="16">
        <f t="shared" si="24"/>
        <v>24</v>
      </c>
      <c r="T56" s="16">
        <f t="shared" si="24"/>
        <v>141</v>
      </c>
      <c r="U56" s="16">
        <f t="shared" si="24"/>
        <v>165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1">
        <v>0.0</v>
      </c>
      <c r="N57" s="21">
        <v>13.0</v>
      </c>
      <c r="O57" s="16">
        <f t="shared" ref="O57:O79" si="28">SUM(M57:N57)</f>
        <v>13</v>
      </c>
      <c r="P57" s="21">
        <v>0.0</v>
      </c>
      <c r="Q57" s="21">
        <v>0.0</v>
      </c>
      <c r="R57" s="16">
        <f t="shared" ref="R57:R79" si="29">SUM(P57:Q57)</f>
        <v>0</v>
      </c>
      <c r="S57" s="23"/>
      <c r="T57" s="21">
        <v>2.0</v>
      </c>
      <c r="U57" s="16">
        <f t="shared" ref="U57:U79" si="30">SUM(S57:T57)</f>
        <v>2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1">
        <v>10.0</v>
      </c>
      <c r="N58" s="21">
        <v>18.0</v>
      </c>
      <c r="O58" s="16">
        <f t="shared" si="28"/>
        <v>28</v>
      </c>
      <c r="P58" s="21">
        <v>0.0</v>
      </c>
      <c r="Q58" s="21">
        <v>9.0</v>
      </c>
      <c r="R58" s="16">
        <f t="shared" si="29"/>
        <v>9</v>
      </c>
      <c r="S58" s="23"/>
      <c r="T58" s="21">
        <v>19.0</v>
      </c>
      <c r="U58" s="16">
        <f t="shared" si="30"/>
        <v>19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1">
        <v>0.0</v>
      </c>
      <c r="N59" s="21">
        <v>0.0</v>
      </c>
      <c r="O59" s="16">
        <f t="shared" si="28"/>
        <v>0</v>
      </c>
      <c r="P59" s="21">
        <v>0.0</v>
      </c>
      <c r="Q59" s="21">
        <v>0.0</v>
      </c>
      <c r="R59" s="16">
        <f t="shared" si="29"/>
        <v>0</v>
      </c>
      <c r="S59" s="23"/>
      <c r="T59" s="21">
        <v>1.0</v>
      </c>
      <c r="U59" s="16">
        <f t="shared" si="30"/>
        <v>1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1">
        <v>0.0</v>
      </c>
      <c r="N60" s="21">
        <v>0.0</v>
      </c>
      <c r="O60" s="16">
        <f t="shared" si="28"/>
        <v>0</v>
      </c>
      <c r="P60" s="21">
        <v>0.0</v>
      </c>
      <c r="Q60" s="21">
        <v>0.0</v>
      </c>
      <c r="R60" s="16">
        <f t="shared" si="29"/>
        <v>0</v>
      </c>
      <c r="S60" s="23"/>
      <c r="T60" s="21">
        <v>1.0</v>
      </c>
      <c r="U60" s="16">
        <f t="shared" si="30"/>
        <v>1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1">
        <v>0.0</v>
      </c>
      <c r="N61" s="21">
        <v>0.0</v>
      </c>
      <c r="O61" s="16">
        <f t="shared" si="28"/>
        <v>0</v>
      </c>
      <c r="P61" s="21">
        <v>0.0</v>
      </c>
      <c r="Q61" s="21">
        <v>0.0</v>
      </c>
      <c r="R61" s="16">
        <f t="shared" si="29"/>
        <v>0</v>
      </c>
      <c r="S61" s="23"/>
      <c r="T61" s="21">
        <v>2.0</v>
      </c>
      <c r="U61" s="16">
        <f t="shared" si="30"/>
        <v>2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1">
        <v>0.0</v>
      </c>
      <c r="N62" s="21">
        <v>0.0</v>
      </c>
      <c r="O62" s="16">
        <f t="shared" si="28"/>
        <v>0</v>
      </c>
      <c r="P62" s="21">
        <v>0.0</v>
      </c>
      <c r="Q62" s="21">
        <v>0.0</v>
      </c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1">
        <v>0.0</v>
      </c>
      <c r="N63" s="21">
        <v>0.0</v>
      </c>
      <c r="O63" s="16">
        <f t="shared" si="28"/>
        <v>0</v>
      </c>
      <c r="P63" s="21">
        <v>0.0</v>
      </c>
      <c r="Q63" s="21">
        <v>4.0</v>
      </c>
      <c r="R63" s="16">
        <f t="shared" si="29"/>
        <v>4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1">
        <v>17.0</v>
      </c>
      <c r="N64" s="21">
        <v>40.0</v>
      </c>
      <c r="O64" s="16">
        <f t="shared" si="28"/>
        <v>57</v>
      </c>
      <c r="P64" s="21">
        <v>0.0</v>
      </c>
      <c r="Q64" s="21">
        <v>0.0</v>
      </c>
      <c r="R64" s="16">
        <f t="shared" si="29"/>
        <v>0</v>
      </c>
      <c r="S64" s="21">
        <v>8.0</v>
      </c>
      <c r="T64" s="21">
        <v>23.0</v>
      </c>
      <c r="U64" s="16">
        <f t="shared" si="30"/>
        <v>31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1">
        <v>12.0</v>
      </c>
      <c r="N65" s="21">
        <v>22.0</v>
      </c>
      <c r="O65" s="16">
        <f t="shared" si="28"/>
        <v>34</v>
      </c>
      <c r="P65" s="21">
        <v>0.0</v>
      </c>
      <c r="Q65" s="21">
        <v>5.0</v>
      </c>
      <c r="R65" s="16">
        <f t="shared" si="29"/>
        <v>5</v>
      </c>
      <c r="S65" s="21">
        <v>8.0</v>
      </c>
      <c r="T65" s="21">
        <v>21.0</v>
      </c>
      <c r="U65" s="16">
        <f t="shared" si="30"/>
        <v>29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1">
        <v>11.0</v>
      </c>
      <c r="N66" s="21">
        <v>22.0</v>
      </c>
      <c r="O66" s="16">
        <f t="shared" si="28"/>
        <v>33</v>
      </c>
      <c r="P66" s="21">
        <v>0.0</v>
      </c>
      <c r="Q66" s="21">
        <v>1.0</v>
      </c>
      <c r="R66" s="16">
        <f t="shared" si="29"/>
        <v>1</v>
      </c>
      <c r="S66" s="21">
        <v>1.0</v>
      </c>
      <c r="T66" s="21">
        <v>5.0</v>
      </c>
      <c r="U66" s="16">
        <f t="shared" si="30"/>
        <v>6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1">
        <v>0.0</v>
      </c>
      <c r="N67" s="21">
        <v>0.0</v>
      </c>
      <c r="O67" s="16">
        <f t="shared" si="28"/>
        <v>0</v>
      </c>
      <c r="P67" s="21">
        <v>0.0</v>
      </c>
      <c r="Q67" s="21">
        <v>0.0</v>
      </c>
      <c r="R67" s="16">
        <f t="shared" si="29"/>
        <v>0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1">
        <v>10.0</v>
      </c>
      <c r="N68" s="21">
        <v>21.0</v>
      </c>
      <c r="O68" s="16">
        <f t="shared" si="28"/>
        <v>31</v>
      </c>
      <c r="P68" s="21">
        <v>0.0</v>
      </c>
      <c r="Q68" s="21">
        <v>0.0</v>
      </c>
      <c r="R68" s="16">
        <f t="shared" si="29"/>
        <v>0</v>
      </c>
      <c r="S68" s="21">
        <v>6.0</v>
      </c>
      <c r="T68" s="21">
        <v>23.0</v>
      </c>
      <c r="U68" s="16">
        <f t="shared" si="30"/>
        <v>29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1">
        <v>0.0</v>
      </c>
      <c r="N69" s="21">
        <v>3.0</v>
      </c>
      <c r="O69" s="16">
        <f t="shared" si="28"/>
        <v>3</v>
      </c>
      <c r="P69" s="21">
        <v>0.0</v>
      </c>
      <c r="Q69" s="21">
        <v>5.0</v>
      </c>
      <c r="R69" s="16">
        <f t="shared" si="29"/>
        <v>5</v>
      </c>
      <c r="S69" s="23"/>
      <c r="T69" s="21">
        <v>7.0</v>
      </c>
      <c r="U69" s="16">
        <f t="shared" si="30"/>
        <v>7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1">
        <v>0.0</v>
      </c>
      <c r="N70" s="21">
        <v>13.0</v>
      </c>
      <c r="O70" s="16">
        <f t="shared" si="28"/>
        <v>13</v>
      </c>
      <c r="P70" s="21">
        <v>0.0</v>
      </c>
      <c r="Q70" s="21">
        <v>5.0</v>
      </c>
      <c r="R70" s="16">
        <f t="shared" si="29"/>
        <v>5</v>
      </c>
      <c r="S70" s="23"/>
      <c r="T70" s="21">
        <v>8.0</v>
      </c>
      <c r="U70" s="16">
        <f t="shared" si="30"/>
        <v>8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1">
        <v>0.0</v>
      </c>
      <c r="N71" s="21">
        <v>13.0</v>
      </c>
      <c r="O71" s="16">
        <f t="shared" si="28"/>
        <v>13</v>
      </c>
      <c r="P71" s="21">
        <v>0.0</v>
      </c>
      <c r="Q71" s="21">
        <v>5.0</v>
      </c>
      <c r="R71" s="16">
        <f t="shared" si="29"/>
        <v>5</v>
      </c>
      <c r="S71" s="23"/>
      <c r="T71" s="21">
        <v>8.0</v>
      </c>
      <c r="U71" s="16">
        <f t="shared" si="30"/>
        <v>8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1">
        <v>0.0</v>
      </c>
      <c r="N72" s="21">
        <v>13.0</v>
      </c>
      <c r="O72" s="16">
        <f t="shared" si="28"/>
        <v>13</v>
      </c>
      <c r="P72" s="21">
        <v>0.0</v>
      </c>
      <c r="Q72" s="21">
        <v>0.0</v>
      </c>
      <c r="R72" s="16">
        <f t="shared" si="29"/>
        <v>0</v>
      </c>
      <c r="S72" s="23"/>
      <c r="T72" s="21">
        <v>8.0</v>
      </c>
      <c r="U72" s="16">
        <f t="shared" si="30"/>
        <v>8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1">
        <v>2.0</v>
      </c>
      <c r="N73" s="21">
        <v>9.0</v>
      </c>
      <c r="O73" s="16">
        <f t="shared" si="28"/>
        <v>11</v>
      </c>
      <c r="P73" s="21">
        <v>0.0</v>
      </c>
      <c r="Q73" s="21">
        <v>5.0</v>
      </c>
      <c r="R73" s="16">
        <f t="shared" si="29"/>
        <v>5</v>
      </c>
      <c r="S73" s="21">
        <v>1.0</v>
      </c>
      <c r="T73" s="21">
        <v>8.0</v>
      </c>
      <c r="U73" s="16">
        <f t="shared" si="30"/>
        <v>9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1">
        <v>0.0</v>
      </c>
      <c r="N74" s="21">
        <v>0.0</v>
      </c>
      <c r="O74" s="16">
        <f t="shared" si="28"/>
        <v>0</v>
      </c>
      <c r="P74" s="21">
        <v>0.0</v>
      </c>
      <c r="Q74" s="21">
        <v>0.0</v>
      </c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1">
        <v>0.0</v>
      </c>
      <c r="N75" s="21">
        <v>0.0</v>
      </c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1">
        <v>0.0</v>
      </c>
      <c r="N76" s="21">
        <v>11.0</v>
      </c>
      <c r="O76" s="16">
        <f t="shared" si="28"/>
        <v>11</v>
      </c>
      <c r="P76" s="21">
        <v>0.0</v>
      </c>
      <c r="Q76" s="21">
        <v>0.0</v>
      </c>
      <c r="R76" s="16">
        <f t="shared" si="29"/>
        <v>0</v>
      </c>
      <c r="S76" s="23"/>
      <c r="T76" s="21">
        <v>5.0</v>
      </c>
      <c r="U76" s="16">
        <f t="shared" si="30"/>
        <v>5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1">
        <v>0.0</v>
      </c>
      <c r="N77" s="21">
        <v>0.0</v>
      </c>
      <c r="O77" s="16">
        <f t="shared" si="28"/>
        <v>0</v>
      </c>
      <c r="P77" s="21">
        <v>0.0</v>
      </c>
      <c r="Q77" s="21">
        <v>0.0</v>
      </c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1">
        <v>0.0</v>
      </c>
      <c r="N78" s="21">
        <v>1.0</v>
      </c>
      <c r="O78" s="16">
        <f t="shared" si="28"/>
        <v>1</v>
      </c>
      <c r="P78" s="21">
        <v>0.0</v>
      </c>
      <c r="Q78" s="21">
        <v>0.0</v>
      </c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1">
        <v>0.0</v>
      </c>
      <c r="N79" s="21">
        <v>0.0</v>
      </c>
      <c r="O79" s="16">
        <f t="shared" si="28"/>
        <v>0</v>
      </c>
      <c r="P79" s="21">
        <v>0.0</v>
      </c>
      <c r="Q79" s="21">
        <v>0.0</v>
      </c>
      <c r="R79" s="16">
        <f t="shared" si="29"/>
        <v>0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21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631</v>
      </c>
      <c r="E8" s="16">
        <f t="shared" si="1"/>
        <v>1615</v>
      </c>
      <c r="F8" s="16">
        <f t="shared" si="1"/>
        <v>2246</v>
      </c>
      <c r="G8" s="16">
        <f t="shared" si="1"/>
        <v>211</v>
      </c>
      <c r="H8" s="16">
        <f t="shared" si="1"/>
        <v>806</v>
      </c>
      <c r="I8" s="16">
        <f t="shared" si="1"/>
        <v>1017</v>
      </c>
      <c r="J8" s="16">
        <f t="shared" si="1"/>
        <v>242</v>
      </c>
      <c r="K8" s="16">
        <f t="shared" si="1"/>
        <v>826</v>
      </c>
      <c r="L8" s="16">
        <f t="shared" si="1"/>
        <v>1068</v>
      </c>
      <c r="M8" s="16">
        <f t="shared" si="1"/>
        <v>144</v>
      </c>
      <c r="N8" s="16">
        <f t="shared" si="1"/>
        <v>554</v>
      </c>
      <c r="O8" s="16">
        <f t="shared" si="1"/>
        <v>698</v>
      </c>
      <c r="P8" s="16">
        <f t="shared" si="1"/>
        <v>384</v>
      </c>
      <c r="Q8" s="16">
        <f t="shared" si="1"/>
        <v>807</v>
      </c>
      <c r="R8" s="16">
        <f t="shared" si="1"/>
        <v>1191</v>
      </c>
      <c r="S8" s="16">
        <f t="shared" si="1"/>
        <v>76</v>
      </c>
      <c r="T8" s="16">
        <f t="shared" si="1"/>
        <v>191</v>
      </c>
      <c r="U8" s="16">
        <f t="shared" si="1"/>
        <v>267</v>
      </c>
    </row>
    <row r="9">
      <c r="A9" s="17">
        <v>2.0</v>
      </c>
      <c r="B9" s="18" t="s">
        <v>15</v>
      </c>
      <c r="C9" s="9"/>
      <c r="D9" s="16">
        <f t="shared" ref="D9:U9" si="2">SUM(D10:D17)</f>
        <v>76</v>
      </c>
      <c r="E9" s="16">
        <f t="shared" si="2"/>
        <v>230</v>
      </c>
      <c r="F9" s="16">
        <f t="shared" si="2"/>
        <v>306</v>
      </c>
      <c r="G9" s="16">
        <f t="shared" si="2"/>
        <v>59</v>
      </c>
      <c r="H9" s="16">
        <f t="shared" si="2"/>
        <v>156</v>
      </c>
      <c r="I9" s="16">
        <f t="shared" si="2"/>
        <v>215</v>
      </c>
      <c r="J9" s="16">
        <f t="shared" si="2"/>
        <v>121</v>
      </c>
      <c r="K9" s="16">
        <f t="shared" si="2"/>
        <v>413</v>
      </c>
      <c r="L9" s="16">
        <f t="shared" si="2"/>
        <v>534</v>
      </c>
      <c r="M9" s="16">
        <f t="shared" si="2"/>
        <v>43</v>
      </c>
      <c r="N9" s="16">
        <f t="shared" si="2"/>
        <v>191</v>
      </c>
      <c r="O9" s="16">
        <f t="shared" si="2"/>
        <v>234</v>
      </c>
      <c r="P9" s="16">
        <f t="shared" si="2"/>
        <v>90</v>
      </c>
      <c r="Q9" s="16">
        <f t="shared" si="2"/>
        <v>184</v>
      </c>
      <c r="R9" s="16">
        <f t="shared" si="2"/>
        <v>274</v>
      </c>
      <c r="S9" s="16">
        <f t="shared" si="2"/>
        <v>21</v>
      </c>
      <c r="T9" s="16">
        <f t="shared" si="2"/>
        <v>60</v>
      </c>
      <c r="U9" s="16">
        <f t="shared" si="2"/>
        <v>81</v>
      </c>
    </row>
    <row r="10">
      <c r="A10" s="19"/>
      <c r="B10" s="20" t="s">
        <v>16</v>
      </c>
      <c r="C10" s="21" t="s">
        <v>17</v>
      </c>
      <c r="D10" s="21">
        <v>55.0</v>
      </c>
      <c r="E10" s="21">
        <v>121.0</v>
      </c>
      <c r="F10" s="16">
        <f t="shared" ref="F10:F17" si="3">SUM(D10:E10)</f>
        <v>176</v>
      </c>
      <c r="G10" s="21">
        <v>40.0</v>
      </c>
      <c r="H10" s="21">
        <v>80.0</v>
      </c>
      <c r="I10" s="16">
        <f t="shared" ref="I10:I17" si="4">SUM(G10:H10)</f>
        <v>120</v>
      </c>
      <c r="J10" s="21">
        <v>121.0</v>
      </c>
      <c r="K10" s="21">
        <v>300.0</v>
      </c>
      <c r="L10" s="16">
        <f t="shared" ref="L10:L17" si="5">SUM(J10:K10)</f>
        <v>421</v>
      </c>
      <c r="M10" s="21">
        <v>27.0</v>
      </c>
      <c r="N10" s="21">
        <v>94.0</v>
      </c>
      <c r="O10" s="16">
        <f t="shared" ref="O10:O17" si="6">SUM(M10:N10)</f>
        <v>121</v>
      </c>
      <c r="P10" s="21">
        <v>85.0</v>
      </c>
      <c r="Q10" s="21">
        <v>142.0</v>
      </c>
      <c r="R10" s="16">
        <f t="shared" ref="R10:R17" si="7">SUM(P10:Q10)</f>
        <v>227</v>
      </c>
      <c r="S10" s="21">
        <v>20.0</v>
      </c>
      <c r="T10" s="21">
        <v>40.0</v>
      </c>
      <c r="U10" s="16">
        <f t="shared" ref="U10:U17" si="8">SUM(S10:T10)</f>
        <v>60</v>
      </c>
    </row>
    <row r="11">
      <c r="A11" s="19"/>
      <c r="B11" s="20" t="s">
        <v>19</v>
      </c>
      <c r="C11" s="21" t="s">
        <v>20</v>
      </c>
      <c r="D11" s="21">
        <v>7.0</v>
      </c>
      <c r="E11" s="21">
        <v>74.0</v>
      </c>
      <c r="F11" s="16">
        <f t="shared" si="3"/>
        <v>81</v>
      </c>
      <c r="G11" s="21">
        <v>0.0</v>
      </c>
      <c r="H11" s="21">
        <v>63.0</v>
      </c>
      <c r="I11" s="16">
        <f t="shared" si="4"/>
        <v>63</v>
      </c>
      <c r="J11" s="21">
        <v>0.0</v>
      </c>
      <c r="K11" s="21">
        <v>107.0</v>
      </c>
      <c r="L11" s="16">
        <f t="shared" si="5"/>
        <v>107</v>
      </c>
      <c r="M11" s="21">
        <v>0.0</v>
      </c>
      <c r="N11" s="21">
        <v>34.0</v>
      </c>
      <c r="O11" s="16">
        <f t="shared" si="6"/>
        <v>34</v>
      </c>
      <c r="P11" s="21">
        <v>0.0</v>
      </c>
      <c r="Q11" s="21">
        <v>36.0</v>
      </c>
      <c r="R11" s="16">
        <f t="shared" si="7"/>
        <v>36</v>
      </c>
      <c r="S11" s="21">
        <v>0.0</v>
      </c>
      <c r="T11" s="21">
        <v>20.0</v>
      </c>
      <c r="U11" s="16">
        <f t="shared" si="8"/>
        <v>20</v>
      </c>
    </row>
    <row r="12">
      <c r="A12" s="19"/>
      <c r="B12" s="20" t="s">
        <v>22</v>
      </c>
      <c r="C12" s="21" t="s">
        <v>23</v>
      </c>
      <c r="D12" s="21">
        <v>0.0</v>
      </c>
      <c r="E12" s="21">
        <v>0.0</v>
      </c>
      <c r="F12" s="16">
        <f t="shared" si="3"/>
        <v>0</v>
      </c>
      <c r="G12" s="21">
        <v>0.0</v>
      </c>
      <c r="H12" s="21">
        <v>0.0</v>
      </c>
      <c r="I12" s="16">
        <f t="shared" si="4"/>
        <v>0</v>
      </c>
      <c r="J12" s="23"/>
      <c r="K12" s="23"/>
      <c r="L12" s="16">
        <f t="shared" si="5"/>
        <v>0</v>
      </c>
      <c r="M12" s="21">
        <v>0.0</v>
      </c>
      <c r="N12" s="21">
        <v>0.0</v>
      </c>
      <c r="O12" s="16">
        <f t="shared" si="6"/>
        <v>0</v>
      </c>
      <c r="P12" s="21">
        <v>0.0</v>
      </c>
      <c r="Q12" s="21">
        <v>0.0</v>
      </c>
      <c r="R12" s="16">
        <f t="shared" si="7"/>
        <v>0</v>
      </c>
      <c r="S12" s="21">
        <v>0.0</v>
      </c>
      <c r="T12" s="21">
        <v>0.0</v>
      </c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1">
        <v>0.0</v>
      </c>
      <c r="E13" s="21">
        <v>0.0</v>
      </c>
      <c r="F13" s="16">
        <f t="shared" si="3"/>
        <v>0</v>
      </c>
      <c r="G13" s="21">
        <v>1.0</v>
      </c>
      <c r="H13" s="21">
        <v>3.0</v>
      </c>
      <c r="I13" s="16">
        <f t="shared" si="4"/>
        <v>4</v>
      </c>
      <c r="J13" s="23"/>
      <c r="K13" s="23"/>
      <c r="L13" s="16">
        <f t="shared" si="5"/>
        <v>0</v>
      </c>
      <c r="M13" s="21">
        <v>5.0</v>
      </c>
      <c r="N13" s="21">
        <v>2.0</v>
      </c>
      <c r="O13" s="16">
        <f t="shared" si="6"/>
        <v>7</v>
      </c>
      <c r="P13" s="21">
        <v>2.0</v>
      </c>
      <c r="Q13" s="21">
        <v>2.0</v>
      </c>
      <c r="R13" s="16">
        <f t="shared" si="7"/>
        <v>4</v>
      </c>
      <c r="S13" s="21">
        <v>0.0</v>
      </c>
      <c r="T13" s="21">
        <v>0.0</v>
      </c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1">
        <v>0.0</v>
      </c>
      <c r="E14" s="21">
        <v>0.0</v>
      </c>
      <c r="F14" s="16">
        <f t="shared" si="3"/>
        <v>0</v>
      </c>
      <c r="G14" s="21">
        <v>4.0</v>
      </c>
      <c r="H14" s="21">
        <v>1.0</v>
      </c>
      <c r="I14" s="16">
        <f t="shared" si="4"/>
        <v>5</v>
      </c>
      <c r="J14" s="21">
        <v>0.0</v>
      </c>
      <c r="K14" s="21">
        <v>3.0</v>
      </c>
      <c r="L14" s="16">
        <f t="shared" si="5"/>
        <v>3</v>
      </c>
      <c r="M14" s="21">
        <v>1.0</v>
      </c>
      <c r="N14" s="21">
        <v>2.0</v>
      </c>
      <c r="O14" s="16">
        <f t="shared" si="6"/>
        <v>3</v>
      </c>
      <c r="P14" s="21">
        <v>0.0</v>
      </c>
      <c r="Q14" s="21">
        <v>0.0</v>
      </c>
      <c r="R14" s="16">
        <f t="shared" si="7"/>
        <v>0</v>
      </c>
      <c r="S14" s="21">
        <v>1.0</v>
      </c>
      <c r="T14" s="21">
        <v>0.0</v>
      </c>
      <c r="U14" s="16">
        <f t="shared" si="8"/>
        <v>1</v>
      </c>
    </row>
    <row r="15">
      <c r="A15" s="19"/>
      <c r="B15" s="20" t="s">
        <v>29</v>
      </c>
      <c r="C15" s="21" t="s">
        <v>30</v>
      </c>
      <c r="D15" s="21">
        <v>3.0</v>
      </c>
      <c r="E15" s="21">
        <v>2.0</v>
      </c>
      <c r="F15" s="16">
        <f t="shared" si="3"/>
        <v>5</v>
      </c>
      <c r="G15" s="21">
        <v>14.0</v>
      </c>
      <c r="H15" s="21">
        <v>4.0</v>
      </c>
      <c r="I15" s="16">
        <f t="shared" si="4"/>
        <v>18</v>
      </c>
      <c r="J15" s="23"/>
      <c r="K15" s="23"/>
      <c r="L15" s="16">
        <f t="shared" si="5"/>
        <v>0</v>
      </c>
      <c r="M15" s="21">
        <v>0.0</v>
      </c>
      <c r="N15" s="21">
        <v>0.0</v>
      </c>
      <c r="O15" s="16">
        <f t="shared" si="6"/>
        <v>0</v>
      </c>
      <c r="P15" s="21">
        <v>3.0</v>
      </c>
      <c r="Q15" s="21">
        <v>2.0</v>
      </c>
      <c r="R15" s="16">
        <f t="shared" si="7"/>
        <v>5</v>
      </c>
      <c r="S15" s="21">
        <v>0.0</v>
      </c>
      <c r="T15" s="21">
        <v>0.0</v>
      </c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1">
        <v>0.0</v>
      </c>
      <c r="E16" s="21">
        <v>0.0</v>
      </c>
      <c r="F16" s="16">
        <f t="shared" si="3"/>
        <v>0</v>
      </c>
      <c r="G16" s="21">
        <v>0.0</v>
      </c>
      <c r="H16" s="21">
        <v>5.0</v>
      </c>
      <c r="I16" s="16">
        <f t="shared" si="4"/>
        <v>5</v>
      </c>
      <c r="J16" s="21">
        <v>0.0</v>
      </c>
      <c r="K16" s="21">
        <v>3.0</v>
      </c>
      <c r="L16" s="16">
        <f t="shared" si="5"/>
        <v>3</v>
      </c>
      <c r="M16" s="21">
        <v>0.0</v>
      </c>
      <c r="N16" s="21">
        <v>34.0</v>
      </c>
      <c r="O16" s="16">
        <f t="shared" si="6"/>
        <v>34</v>
      </c>
      <c r="P16" s="21">
        <v>0.0</v>
      </c>
      <c r="Q16" s="21">
        <v>2.0</v>
      </c>
      <c r="R16" s="16">
        <f t="shared" si="7"/>
        <v>2</v>
      </c>
      <c r="S16" s="21">
        <v>0.0</v>
      </c>
      <c r="T16" s="21">
        <v>0.0</v>
      </c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1">
        <v>11.0</v>
      </c>
      <c r="E17" s="21">
        <v>33.0</v>
      </c>
      <c r="F17" s="16">
        <f t="shared" si="3"/>
        <v>44</v>
      </c>
      <c r="G17" s="21">
        <v>0.0</v>
      </c>
      <c r="H17" s="21">
        <v>0.0</v>
      </c>
      <c r="I17" s="16">
        <f t="shared" si="4"/>
        <v>0</v>
      </c>
      <c r="J17" s="23"/>
      <c r="K17" s="23"/>
      <c r="L17" s="16">
        <f t="shared" si="5"/>
        <v>0</v>
      </c>
      <c r="M17" s="21">
        <v>10.0</v>
      </c>
      <c r="N17" s="21">
        <v>25.0</v>
      </c>
      <c r="O17" s="16">
        <f t="shared" si="6"/>
        <v>35</v>
      </c>
      <c r="P17" s="21">
        <v>0.0</v>
      </c>
      <c r="Q17" s="21">
        <v>0.0</v>
      </c>
      <c r="R17" s="16">
        <f t="shared" si="7"/>
        <v>0</v>
      </c>
      <c r="S17" s="21">
        <v>0.0</v>
      </c>
      <c r="T17" s="21">
        <v>0.0</v>
      </c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555</v>
      </c>
      <c r="E18" s="16">
        <f t="shared" si="9"/>
        <v>1385</v>
      </c>
      <c r="F18" s="16">
        <f t="shared" si="9"/>
        <v>1940</v>
      </c>
      <c r="G18" s="16">
        <f t="shared" si="9"/>
        <v>152</v>
      </c>
      <c r="H18" s="16">
        <f t="shared" si="9"/>
        <v>650</v>
      </c>
      <c r="I18" s="16">
        <f t="shared" si="9"/>
        <v>802</v>
      </c>
      <c r="J18" s="16">
        <f t="shared" si="9"/>
        <v>121</v>
      </c>
      <c r="K18" s="16">
        <f t="shared" si="9"/>
        <v>413</v>
      </c>
      <c r="L18" s="16">
        <f t="shared" si="9"/>
        <v>534</v>
      </c>
      <c r="M18" s="16">
        <f t="shared" si="9"/>
        <v>101</v>
      </c>
      <c r="N18" s="16">
        <f t="shared" si="9"/>
        <v>363</v>
      </c>
      <c r="O18" s="16">
        <f t="shared" si="9"/>
        <v>464</v>
      </c>
      <c r="P18" s="16">
        <f t="shared" si="9"/>
        <v>294</v>
      </c>
      <c r="Q18" s="16">
        <f t="shared" si="9"/>
        <v>623</v>
      </c>
      <c r="R18" s="16">
        <f t="shared" si="9"/>
        <v>917</v>
      </c>
      <c r="S18" s="16">
        <f t="shared" si="9"/>
        <v>55</v>
      </c>
      <c r="T18" s="16">
        <f t="shared" si="9"/>
        <v>131</v>
      </c>
      <c r="U18" s="16">
        <f t="shared" si="9"/>
        <v>186</v>
      </c>
    </row>
    <row r="19">
      <c r="A19" s="19"/>
      <c r="B19" s="20" t="s">
        <v>16</v>
      </c>
      <c r="C19" s="21" t="s">
        <v>36</v>
      </c>
      <c r="D19" s="21">
        <v>5.0</v>
      </c>
      <c r="E19" s="21">
        <v>27.0</v>
      </c>
      <c r="F19" s="16">
        <f t="shared" ref="F19:F41" si="10">SUM(D19:E19)</f>
        <v>32</v>
      </c>
      <c r="G19" s="21">
        <v>1.0</v>
      </c>
      <c r="H19" s="21">
        <v>33.0</v>
      </c>
      <c r="I19" s="16">
        <f t="shared" ref="I19:I41" si="11">SUM(G19:H19)</f>
        <v>34</v>
      </c>
      <c r="J19" s="21">
        <v>5.0</v>
      </c>
      <c r="K19" s="21">
        <v>11.0</v>
      </c>
      <c r="L19" s="16">
        <f t="shared" ref="L19:L41" si="12">SUM(J19:K19)</f>
        <v>16</v>
      </c>
      <c r="M19" s="21">
        <v>3.0</v>
      </c>
      <c r="N19" s="21">
        <v>1.0</v>
      </c>
      <c r="O19" s="16">
        <f t="shared" ref="O19:O41" si="13">SUM(M19:N19)</f>
        <v>4</v>
      </c>
      <c r="P19" s="21">
        <v>2.0</v>
      </c>
      <c r="Q19" s="21">
        <v>17.0</v>
      </c>
      <c r="R19" s="16">
        <f t="shared" ref="R19:R41" si="14">SUM(P19:Q19)</f>
        <v>19</v>
      </c>
      <c r="S19" s="21">
        <v>0.0</v>
      </c>
      <c r="T19" s="21">
        <v>10.0</v>
      </c>
      <c r="U19" s="16">
        <f t="shared" ref="U19:U41" si="15">SUM(S19:T19)</f>
        <v>10</v>
      </c>
    </row>
    <row r="20">
      <c r="A20" s="19"/>
      <c r="B20" s="20" t="s">
        <v>19</v>
      </c>
      <c r="C20" s="21" t="s">
        <v>37</v>
      </c>
      <c r="D20" s="21">
        <v>11.0</v>
      </c>
      <c r="E20" s="21">
        <v>123.0</v>
      </c>
      <c r="F20" s="16">
        <f t="shared" si="10"/>
        <v>134</v>
      </c>
      <c r="G20" s="21">
        <v>0.0</v>
      </c>
      <c r="H20" s="21">
        <v>65.0</v>
      </c>
      <c r="I20" s="16">
        <f t="shared" si="11"/>
        <v>65</v>
      </c>
      <c r="J20" s="21">
        <v>5.0</v>
      </c>
      <c r="K20" s="21">
        <v>32.0</v>
      </c>
      <c r="L20" s="16">
        <f t="shared" si="12"/>
        <v>37</v>
      </c>
      <c r="M20" s="21">
        <v>2.0</v>
      </c>
      <c r="N20" s="21">
        <v>61.0</v>
      </c>
      <c r="O20" s="16">
        <f t="shared" si="13"/>
        <v>63</v>
      </c>
      <c r="P20" s="21">
        <v>10.0</v>
      </c>
      <c r="Q20" s="21">
        <v>34.0</v>
      </c>
      <c r="R20" s="16">
        <f t="shared" si="14"/>
        <v>44</v>
      </c>
      <c r="S20" s="21">
        <v>0.0</v>
      </c>
      <c r="T20" s="21">
        <v>23.0</v>
      </c>
      <c r="U20" s="16">
        <f t="shared" si="15"/>
        <v>23</v>
      </c>
    </row>
    <row r="21">
      <c r="A21" s="19"/>
      <c r="B21" s="20" t="s">
        <v>22</v>
      </c>
      <c r="C21" s="21" t="s">
        <v>38</v>
      </c>
      <c r="D21" s="21">
        <v>5.0</v>
      </c>
      <c r="E21" s="21">
        <v>8.0</v>
      </c>
      <c r="F21" s="16">
        <f t="shared" si="10"/>
        <v>13</v>
      </c>
      <c r="G21" s="21">
        <v>0.0</v>
      </c>
      <c r="H21" s="21">
        <v>0.0</v>
      </c>
      <c r="I21" s="16">
        <f t="shared" si="11"/>
        <v>0</v>
      </c>
      <c r="J21" s="23"/>
      <c r="K21" s="23"/>
      <c r="L21" s="16">
        <f t="shared" si="12"/>
        <v>0</v>
      </c>
      <c r="M21" s="21">
        <v>0.0</v>
      </c>
      <c r="N21" s="21">
        <v>0.0</v>
      </c>
      <c r="O21" s="16">
        <f t="shared" si="13"/>
        <v>0</v>
      </c>
      <c r="P21" s="21">
        <v>5.0</v>
      </c>
      <c r="Q21" s="21">
        <v>1.0</v>
      </c>
      <c r="R21" s="16">
        <f t="shared" si="14"/>
        <v>6</v>
      </c>
      <c r="S21" s="21">
        <v>0.0</v>
      </c>
      <c r="T21" s="21">
        <v>0.0</v>
      </c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1">
        <v>5.0</v>
      </c>
      <c r="E22" s="21">
        <v>8.0</v>
      </c>
      <c r="F22" s="16">
        <f t="shared" si="10"/>
        <v>13</v>
      </c>
      <c r="G22" s="21">
        <v>0.0</v>
      </c>
      <c r="H22" s="21">
        <v>0.0</v>
      </c>
      <c r="I22" s="16">
        <f t="shared" si="11"/>
        <v>0</v>
      </c>
      <c r="J22" s="23"/>
      <c r="K22" s="23"/>
      <c r="L22" s="16">
        <f t="shared" si="12"/>
        <v>0</v>
      </c>
      <c r="M22" s="21">
        <v>0.0</v>
      </c>
      <c r="N22" s="21">
        <v>0.0</v>
      </c>
      <c r="O22" s="16">
        <f t="shared" si="13"/>
        <v>0</v>
      </c>
      <c r="P22" s="21">
        <v>5.0</v>
      </c>
      <c r="Q22" s="21">
        <v>1.0</v>
      </c>
      <c r="R22" s="16">
        <f t="shared" si="14"/>
        <v>6</v>
      </c>
      <c r="S22" s="21">
        <v>0.0</v>
      </c>
      <c r="T22" s="21">
        <v>0.0</v>
      </c>
      <c r="U22" s="16">
        <f t="shared" si="15"/>
        <v>0</v>
      </c>
    </row>
    <row r="23">
      <c r="A23" s="19"/>
      <c r="B23" s="20" t="s">
        <v>27</v>
      </c>
      <c r="C23" s="21" t="s">
        <v>40</v>
      </c>
      <c r="D23" s="23"/>
      <c r="E23" s="23"/>
      <c r="F23" s="16">
        <f t="shared" si="10"/>
        <v>0</v>
      </c>
      <c r="G23" s="21">
        <v>0.0</v>
      </c>
      <c r="H23" s="21">
        <v>0.0</v>
      </c>
      <c r="I23" s="16">
        <f t="shared" si="11"/>
        <v>0</v>
      </c>
      <c r="J23" s="23"/>
      <c r="K23" s="23"/>
      <c r="L23" s="16">
        <f t="shared" si="12"/>
        <v>0</v>
      </c>
      <c r="M23" s="21">
        <v>0.0</v>
      </c>
      <c r="N23" s="21">
        <v>0.0</v>
      </c>
      <c r="O23" s="16">
        <f t="shared" si="13"/>
        <v>0</v>
      </c>
      <c r="P23" s="21">
        <v>5.0</v>
      </c>
      <c r="Q23" s="21">
        <v>1.0</v>
      </c>
      <c r="R23" s="16">
        <f t="shared" si="14"/>
        <v>6</v>
      </c>
      <c r="S23" s="21">
        <v>0.0</v>
      </c>
      <c r="T23" s="21">
        <v>0.0</v>
      </c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1">
        <v>0.0</v>
      </c>
      <c r="H24" s="21">
        <v>0.0</v>
      </c>
      <c r="I24" s="16">
        <f t="shared" si="11"/>
        <v>0</v>
      </c>
      <c r="J24" s="23"/>
      <c r="K24" s="23"/>
      <c r="L24" s="16">
        <f t="shared" si="12"/>
        <v>0</v>
      </c>
      <c r="M24" s="21">
        <v>0.0</v>
      </c>
      <c r="N24" s="21">
        <v>0.0</v>
      </c>
      <c r="O24" s="16">
        <f t="shared" si="13"/>
        <v>0</v>
      </c>
      <c r="P24" s="21">
        <v>0.0</v>
      </c>
      <c r="Q24" s="21">
        <v>0.0</v>
      </c>
      <c r="R24" s="16">
        <f t="shared" si="14"/>
        <v>0</v>
      </c>
      <c r="S24" s="21">
        <v>0.0</v>
      </c>
      <c r="T24" s="21">
        <v>0.0</v>
      </c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1">
        <v>5.0</v>
      </c>
      <c r="E25" s="21">
        <v>14.0</v>
      </c>
      <c r="F25" s="16">
        <f t="shared" si="10"/>
        <v>19</v>
      </c>
      <c r="G25" s="21">
        <v>0.0</v>
      </c>
      <c r="H25" s="21">
        <v>36.0</v>
      </c>
      <c r="I25" s="16">
        <f t="shared" si="11"/>
        <v>36</v>
      </c>
      <c r="J25" s="23"/>
      <c r="K25" s="23"/>
      <c r="L25" s="16">
        <f t="shared" si="12"/>
        <v>0</v>
      </c>
      <c r="M25" s="21">
        <v>0.0</v>
      </c>
      <c r="N25" s="21">
        <v>0.0</v>
      </c>
      <c r="O25" s="16">
        <f t="shared" si="13"/>
        <v>0</v>
      </c>
      <c r="P25" s="21">
        <v>0.0</v>
      </c>
      <c r="Q25" s="21">
        <v>0.0</v>
      </c>
      <c r="R25" s="16">
        <f t="shared" si="14"/>
        <v>0</v>
      </c>
      <c r="S25" s="21">
        <v>0.0</v>
      </c>
      <c r="T25" s="21">
        <v>0.0</v>
      </c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1">
        <v>106.0</v>
      </c>
      <c r="E26" s="21">
        <v>243.0</v>
      </c>
      <c r="F26" s="16">
        <f t="shared" si="10"/>
        <v>349</v>
      </c>
      <c r="G26" s="21">
        <v>34.0</v>
      </c>
      <c r="H26" s="21">
        <v>63.0</v>
      </c>
      <c r="I26" s="16">
        <f t="shared" si="11"/>
        <v>97</v>
      </c>
      <c r="J26" s="21">
        <v>22.0</v>
      </c>
      <c r="K26" s="21">
        <v>83.0</v>
      </c>
      <c r="L26" s="16">
        <f t="shared" si="12"/>
        <v>105</v>
      </c>
      <c r="M26" s="21">
        <v>28.0</v>
      </c>
      <c r="N26" s="21">
        <v>75.0</v>
      </c>
      <c r="O26" s="16">
        <f t="shared" si="13"/>
        <v>103</v>
      </c>
      <c r="P26" s="21">
        <v>6.0</v>
      </c>
      <c r="Q26" s="21">
        <v>9.0</v>
      </c>
      <c r="R26" s="16">
        <f t="shared" si="14"/>
        <v>15</v>
      </c>
      <c r="S26" s="21">
        <v>13.0</v>
      </c>
      <c r="T26" s="23">
        <f>23-S26</f>
        <v>10</v>
      </c>
      <c r="U26" s="16">
        <f t="shared" si="15"/>
        <v>23</v>
      </c>
    </row>
    <row r="27">
      <c r="A27" s="19"/>
      <c r="B27" s="20" t="s">
        <v>44</v>
      </c>
      <c r="C27" s="21" t="s">
        <v>45</v>
      </c>
      <c r="D27" s="21">
        <v>239.0</v>
      </c>
      <c r="E27" s="21">
        <v>428.0</v>
      </c>
      <c r="F27" s="16">
        <f t="shared" si="10"/>
        <v>667</v>
      </c>
      <c r="G27" s="21">
        <v>50.0</v>
      </c>
      <c r="H27" s="21">
        <v>140.0</v>
      </c>
      <c r="I27" s="16">
        <f t="shared" si="11"/>
        <v>190</v>
      </c>
      <c r="J27" s="21">
        <v>43.0</v>
      </c>
      <c r="K27" s="21">
        <v>97.0</v>
      </c>
      <c r="L27" s="16">
        <f t="shared" si="12"/>
        <v>140</v>
      </c>
      <c r="M27" s="21">
        <v>46.0</v>
      </c>
      <c r="N27" s="21">
        <v>134.0</v>
      </c>
      <c r="O27" s="16">
        <f t="shared" si="13"/>
        <v>180</v>
      </c>
      <c r="P27" s="21">
        <v>71.0</v>
      </c>
      <c r="Q27" s="21">
        <v>124.0</v>
      </c>
      <c r="R27" s="16">
        <f t="shared" si="14"/>
        <v>195</v>
      </c>
      <c r="S27" s="23">
        <f>19-T27</f>
        <v>10</v>
      </c>
      <c r="T27" s="21">
        <v>9.0</v>
      </c>
      <c r="U27" s="16">
        <f t="shared" si="15"/>
        <v>19</v>
      </c>
    </row>
    <row r="28">
      <c r="A28" s="19"/>
      <c r="B28" s="20" t="s">
        <v>46</v>
      </c>
      <c r="C28" s="21" t="s">
        <v>47</v>
      </c>
      <c r="D28" s="21">
        <v>42.0</v>
      </c>
      <c r="E28" s="21">
        <v>99.0</v>
      </c>
      <c r="F28" s="16">
        <f t="shared" si="10"/>
        <v>141</v>
      </c>
      <c r="G28" s="21">
        <v>31.0</v>
      </c>
      <c r="H28" s="21">
        <v>59.0</v>
      </c>
      <c r="I28" s="16">
        <f t="shared" si="11"/>
        <v>90</v>
      </c>
      <c r="J28" s="21">
        <v>13.0</v>
      </c>
      <c r="K28" s="21">
        <v>36.0</v>
      </c>
      <c r="L28" s="16">
        <f t="shared" si="12"/>
        <v>49</v>
      </c>
      <c r="M28" s="21">
        <v>0.0</v>
      </c>
      <c r="N28" s="21">
        <v>2.0</v>
      </c>
      <c r="O28" s="16">
        <f t="shared" si="13"/>
        <v>2</v>
      </c>
      <c r="P28" s="21">
        <v>14.0</v>
      </c>
      <c r="Q28" s="21">
        <v>55.0</v>
      </c>
      <c r="R28" s="16">
        <f t="shared" si="14"/>
        <v>69</v>
      </c>
      <c r="S28" s="21">
        <v>9.0</v>
      </c>
      <c r="T28" s="21">
        <v>7.0</v>
      </c>
      <c r="U28" s="16">
        <f t="shared" si="15"/>
        <v>16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1">
        <v>0.0</v>
      </c>
      <c r="H29" s="21">
        <v>0.0</v>
      </c>
      <c r="I29" s="16">
        <f t="shared" si="11"/>
        <v>0</v>
      </c>
      <c r="J29" s="23"/>
      <c r="K29" s="23"/>
      <c r="L29" s="16">
        <f t="shared" si="12"/>
        <v>0</v>
      </c>
      <c r="M29" s="21">
        <v>0.0</v>
      </c>
      <c r="N29" s="21">
        <v>0.0</v>
      </c>
      <c r="O29" s="16">
        <f t="shared" si="13"/>
        <v>0</v>
      </c>
      <c r="P29" s="21">
        <v>0.0</v>
      </c>
      <c r="Q29" s="21">
        <v>0.0</v>
      </c>
      <c r="R29" s="16">
        <f t="shared" si="14"/>
        <v>0</v>
      </c>
      <c r="S29" s="21">
        <v>0.0</v>
      </c>
      <c r="T29" s="21">
        <v>0.0</v>
      </c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1">
        <v>81.0</v>
      </c>
      <c r="E30" s="21">
        <v>216.0</v>
      </c>
      <c r="F30" s="16">
        <f t="shared" si="10"/>
        <v>297</v>
      </c>
      <c r="G30" s="21">
        <v>30.0</v>
      </c>
      <c r="H30" s="21">
        <v>68.0</v>
      </c>
      <c r="I30" s="16">
        <f t="shared" si="11"/>
        <v>98</v>
      </c>
      <c r="J30" s="21">
        <v>30.0</v>
      </c>
      <c r="K30" s="21">
        <v>79.0</v>
      </c>
      <c r="L30" s="16">
        <f t="shared" si="12"/>
        <v>109</v>
      </c>
      <c r="M30" s="21">
        <v>15.0</v>
      </c>
      <c r="N30" s="21">
        <v>48.0</v>
      </c>
      <c r="O30" s="16">
        <f t="shared" si="13"/>
        <v>63</v>
      </c>
      <c r="P30" s="21">
        <v>17.0</v>
      </c>
      <c r="Q30" s="21">
        <v>49.0</v>
      </c>
      <c r="R30" s="16">
        <f t="shared" si="14"/>
        <v>66</v>
      </c>
      <c r="S30" s="21">
        <v>21.0</v>
      </c>
      <c r="T30" s="23">
        <f>42-S30</f>
        <v>21</v>
      </c>
      <c r="U30" s="16">
        <f t="shared" si="15"/>
        <v>42</v>
      </c>
    </row>
    <row r="31">
      <c r="A31" s="19"/>
      <c r="B31" s="20" t="s">
        <v>52</v>
      </c>
      <c r="C31" s="21" t="s">
        <v>53</v>
      </c>
      <c r="D31" s="21">
        <v>7.0</v>
      </c>
      <c r="E31" s="21">
        <v>19.0</v>
      </c>
      <c r="F31" s="16">
        <f t="shared" si="10"/>
        <v>26</v>
      </c>
      <c r="G31" s="21">
        <v>0.0</v>
      </c>
      <c r="H31" s="21">
        <v>36.0</v>
      </c>
      <c r="I31" s="16">
        <f t="shared" si="11"/>
        <v>36</v>
      </c>
      <c r="J31" s="23"/>
      <c r="K31" s="23"/>
      <c r="L31" s="16">
        <f t="shared" si="12"/>
        <v>0</v>
      </c>
      <c r="M31" s="21">
        <v>0.0</v>
      </c>
      <c r="N31" s="21">
        <v>0.0</v>
      </c>
      <c r="O31" s="16">
        <f t="shared" si="13"/>
        <v>0</v>
      </c>
      <c r="P31" s="21">
        <v>1.0</v>
      </c>
      <c r="Q31" s="21">
        <v>28.0</v>
      </c>
      <c r="R31" s="16">
        <f t="shared" si="14"/>
        <v>29</v>
      </c>
      <c r="S31" s="21">
        <v>0.0</v>
      </c>
      <c r="T31" s="21">
        <v>10.0</v>
      </c>
      <c r="U31" s="16">
        <f t="shared" si="15"/>
        <v>10</v>
      </c>
    </row>
    <row r="32">
      <c r="A32" s="19"/>
      <c r="B32" s="20" t="s">
        <v>54</v>
      </c>
      <c r="C32" s="21" t="s">
        <v>55</v>
      </c>
      <c r="D32" s="21">
        <v>3.0</v>
      </c>
      <c r="E32" s="21">
        <v>33.0</v>
      </c>
      <c r="F32" s="16">
        <f t="shared" si="10"/>
        <v>36</v>
      </c>
      <c r="G32" s="21">
        <v>0.0</v>
      </c>
      <c r="H32" s="21">
        <v>45.0</v>
      </c>
      <c r="I32" s="16">
        <f t="shared" si="11"/>
        <v>45</v>
      </c>
      <c r="J32" s="21">
        <v>1.0</v>
      </c>
      <c r="K32" s="21">
        <v>15.0</v>
      </c>
      <c r="L32" s="16">
        <f t="shared" si="12"/>
        <v>16</v>
      </c>
      <c r="M32" s="21">
        <v>1.0</v>
      </c>
      <c r="N32" s="21">
        <v>4.0</v>
      </c>
      <c r="O32" s="16">
        <f t="shared" si="13"/>
        <v>5</v>
      </c>
      <c r="P32" s="21">
        <v>51.0</v>
      </c>
      <c r="Q32" s="21">
        <v>88.0</v>
      </c>
      <c r="R32" s="16">
        <f t="shared" si="14"/>
        <v>139</v>
      </c>
      <c r="S32" s="21">
        <v>0.0</v>
      </c>
      <c r="T32" s="21">
        <v>10.0</v>
      </c>
      <c r="U32" s="16">
        <f t="shared" si="15"/>
        <v>10</v>
      </c>
    </row>
    <row r="33">
      <c r="A33" s="19"/>
      <c r="B33" s="20" t="s">
        <v>56</v>
      </c>
      <c r="C33" s="21" t="s">
        <v>57</v>
      </c>
      <c r="D33" s="21">
        <v>3.0</v>
      </c>
      <c r="E33" s="21">
        <v>33.0</v>
      </c>
      <c r="F33" s="16">
        <f t="shared" si="10"/>
        <v>36</v>
      </c>
      <c r="G33" s="21">
        <v>0.0</v>
      </c>
      <c r="H33" s="21">
        <v>44.0</v>
      </c>
      <c r="I33" s="16">
        <f t="shared" si="11"/>
        <v>44</v>
      </c>
      <c r="J33" s="21">
        <v>0.0</v>
      </c>
      <c r="K33" s="21">
        <v>14.0</v>
      </c>
      <c r="L33" s="16">
        <f t="shared" si="12"/>
        <v>14</v>
      </c>
      <c r="M33" s="21">
        <v>1.0</v>
      </c>
      <c r="N33" s="21">
        <v>4.0</v>
      </c>
      <c r="O33" s="16">
        <f t="shared" si="13"/>
        <v>5</v>
      </c>
      <c r="P33" s="21">
        <v>51.0</v>
      </c>
      <c r="Q33" s="21">
        <v>88.0</v>
      </c>
      <c r="R33" s="16">
        <f t="shared" si="14"/>
        <v>139</v>
      </c>
      <c r="S33" s="21">
        <v>0.0</v>
      </c>
      <c r="T33" s="21">
        <v>10.0</v>
      </c>
      <c r="U33" s="16">
        <f t="shared" si="15"/>
        <v>10</v>
      </c>
    </row>
    <row r="34">
      <c r="A34" s="19"/>
      <c r="B34" s="20" t="s">
        <v>58</v>
      </c>
      <c r="C34" s="21" t="s">
        <v>59</v>
      </c>
      <c r="D34" s="21">
        <v>40.0</v>
      </c>
      <c r="E34" s="21">
        <v>69.0</v>
      </c>
      <c r="F34" s="16">
        <f t="shared" si="10"/>
        <v>109</v>
      </c>
      <c r="G34" s="21">
        <v>0.0</v>
      </c>
      <c r="H34" s="21">
        <v>43.0</v>
      </c>
      <c r="I34" s="16">
        <f t="shared" si="11"/>
        <v>43</v>
      </c>
      <c r="J34" s="21">
        <v>2.0</v>
      </c>
      <c r="K34" s="21">
        <v>16.0</v>
      </c>
      <c r="L34" s="16">
        <f t="shared" si="12"/>
        <v>18</v>
      </c>
      <c r="M34" s="21">
        <v>1.0</v>
      </c>
      <c r="N34" s="21">
        <v>4.0</v>
      </c>
      <c r="O34" s="16">
        <f t="shared" si="13"/>
        <v>5</v>
      </c>
      <c r="P34" s="21">
        <v>51.0</v>
      </c>
      <c r="Q34" s="21">
        <v>90.0</v>
      </c>
      <c r="R34" s="16">
        <f t="shared" si="14"/>
        <v>141</v>
      </c>
      <c r="S34" s="21">
        <v>0.0</v>
      </c>
      <c r="T34" s="21">
        <v>11.0</v>
      </c>
      <c r="U34" s="16">
        <f t="shared" si="15"/>
        <v>11</v>
      </c>
    </row>
    <row r="35">
      <c r="A35" s="19"/>
      <c r="B35" s="20" t="s">
        <v>60</v>
      </c>
      <c r="C35" s="21" t="s">
        <v>61</v>
      </c>
      <c r="D35" s="21">
        <v>3.0</v>
      </c>
      <c r="E35" s="21">
        <v>28.0</v>
      </c>
      <c r="F35" s="16">
        <f t="shared" si="10"/>
        <v>31</v>
      </c>
      <c r="G35" s="21">
        <v>0.0</v>
      </c>
      <c r="H35" s="21">
        <v>0.0</v>
      </c>
      <c r="I35" s="16">
        <f t="shared" si="11"/>
        <v>0</v>
      </c>
      <c r="J35" s="23"/>
      <c r="K35" s="23"/>
      <c r="L35" s="16">
        <f t="shared" si="12"/>
        <v>0</v>
      </c>
      <c r="M35" s="21">
        <v>0.0</v>
      </c>
      <c r="N35" s="21">
        <v>6.0</v>
      </c>
      <c r="O35" s="16">
        <f t="shared" si="13"/>
        <v>6</v>
      </c>
      <c r="P35" s="21">
        <v>3.0</v>
      </c>
      <c r="Q35" s="21">
        <v>20.0</v>
      </c>
      <c r="R35" s="16">
        <f t="shared" si="14"/>
        <v>23</v>
      </c>
      <c r="S35" s="21">
        <v>2.0</v>
      </c>
      <c r="T35" s="21">
        <v>7.0</v>
      </c>
      <c r="U35" s="16">
        <f t="shared" si="15"/>
        <v>9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1">
        <v>0.0</v>
      </c>
      <c r="H36" s="21">
        <v>0.0</v>
      </c>
      <c r="I36" s="16">
        <f t="shared" si="11"/>
        <v>0</v>
      </c>
      <c r="J36" s="23"/>
      <c r="K36" s="23"/>
      <c r="L36" s="16">
        <f t="shared" si="12"/>
        <v>0</v>
      </c>
      <c r="M36" s="21">
        <v>0.0</v>
      </c>
      <c r="N36" s="21">
        <v>0.0</v>
      </c>
      <c r="O36" s="16">
        <f t="shared" si="13"/>
        <v>0</v>
      </c>
      <c r="P36" s="21">
        <v>0.0</v>
      </c>
      <c r="Q36" s="21">
        <v>0.0</v>
      </c>
      <c r="R36" s="16">
        <f t="shared" si="14"/>
        <v>0</v>
      </c>
      <c r="S36" s="21">
        <v>0.0</v>
      </c>
      <c r="T36" s="21">
        <v>0.0</v>
      </c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1">
        <v>4.0</v>
      </c>
      <c r="H37" s="21">
        <v>3.0</v>
      </c>
      <c r="I37" s="16">
        <f t="shared" si="11"/>
        <v>7</v>
      </c>
      <c r="J37" s="23"/>
      <c r="K37" s="23"/>
      <c r="L37" s="16">
        <f t="shared" si="12"/>
        <v>0</v>
      </c>
      <c r="M37" s="21">
        <v>3.0</v>
      </c>
      <c r="N37" s="21">
        <v>1.0</v>
      </c>
      <c r="O37" s="16">
        <f t="shared" si="13"/>
        <v>4</v>
      </c>
      <c r="P37" s="21">
        <v>0.0</v>
      </c>
      <c r="Q37" s="21">
        <v>0.0</v>
      </c>
      <c r="R37" s="16">
        <f t="shared" si="14"/>
        <v>0</v>
      </c>
      <c r="S37" s="21">
        <v>0.0</v>
      </c>
      <c r="T37" s="21">
        <v>0.0</v>
      </c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1">
        <v>37.0</v>
      </c>
      <c r="F38" s="16">
        <f t="shared" si="10"/>
        <v>37</v>
      </c>
      <c r="G38" s="21">
        <v>0.0</v>
      </c>
      <c r="H38" s="21">
        <v>11.0</v>
      </c>
      <c r="I38" s="16">
        <f t="shared" si="11"/>
        <v>11</v>
      </c>
      <c r="J38" s="21">
        <v>0.0</v>
      </c>
      <c r="K38" s="21">
        <v>29.0</v>
      </c>
      <c r="L38" s="16">
        <f t="shared" si="12"/>
        <v>29</v>
      </c>
      <c r="M38" s="21">
        <v>0.0</v>
      </c>
      <c r="N38" s="21">
        <v>3.0</v>
      </c>
      <c r="O38" s="16">
        <f t="shared" si="13"/>
        <v>3</v>
      </c>
      <c r="P38" s="21">
        <v>0.0</v>
      </c>
      <c r="Q38" s="21">
        <v>17.0</v>
      </c>
      <c r="R38" s="16">
        <f t="shared" si="14"/>
        <v>17</v>
      </c>
      <c r="S38" s="21">
        <v>0.0</v>
      </c>
      <c r="T38" s="21">
        <v>3.0</v>
      </c>
      <c r="U38" s="16">
        <f t="shared" si="15"/>
        <v>3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1">
        <v>0.0</v>
      </c>
      <c r="H39" s="21">
        <v>0.0</v>
      </c>
      <c r="I39" s="16">
        <f t="shared" si="11"/>
        <v>0</v>
      </c>
      <c r="J39" s="23"/>
      <c r="K39" s="23"/>
      <c r="L39" s="16">
        <f t="shared" si="12"/>
        <v>0</v>
      </c>
      <c r="M39" s="21">
        <v>0.0</v>
      </c>
      <c r="N39" s="21">
        <v>0.0</v>
      </c>
      <c r="O39" s="16">
        <f t="shared" si="13"/>
        <v>0</v>
      </c>
      <c r="P39" s="21">
        <v>0.0</v>
      </c>
      <c r="Q39" s="21">
        <v>0.0</v>
      </c>
      <c r="R39" s="16">
        <f t="shared" si="14"/>
        <v>0</v>
      </c>
      <c r="S39" s="21">
        <v>0.0</v>
      </c>
      <c r="T39" s="21">
        <v>0.0</v>
      </c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1">
        <v>2.0</v>
      </c>
      <c r="H40" s="21">
        <v>4.0</v>
      </c>
      <c r="I40" s="16">
        <f t="shared" si="11"/>
        <v>6</v>
      </c>
      <c r="J40" s="21">
        <v>0.0</v>
      </c>
      <c r="K40" s="21">
        <v>1.0</v>
      </c>
      <c r="L40" s="16">
        <f t="shared" si="12"/>
        <v>1</v>
      </c>
      <c r="M40" s="21">
        <v>1.0</v>
      </c>
      <c r="N40" s="21">
        <v>20.0</v>
      </c>
      <c r="O40" s="16">
        <f t="shared" si="13"/>
        <v>21</v>
      </c>
      <c r="P40" s="21">
        <v>2.0</v>
      </c>
      <c r="Q40" s="21">
        <v>1.0</v>
      </c>
      <c r="R40" s="16">
        <f t="shared" si="14"/>
        <v>3</v>
      </c>
      <c r="S40" s="21">
        <v>0.0</v>
      </c>
      <c r="T40" s="21">
        <v>0.0</v>
      </c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1">
        <v>0.0</v>
      </c>
      <c r="H41" s="21">
        <v>0.0</v>
      </c>
      <c r="I41" s="16">
        <f t="shared" si="11"/>
        <v>0</v>
      </c>
      <c r="J41" s="23"/>
      <c r="K41" s="23"/>
      <c r="L41" s="16">
        <f t="shared" si="12"/>
        <v>0</v>
      </c>
      <c r="M41" s="21">
        <v>0.0</v>
      </c>
      <c r="N41" s="21">
        <v>0.0</v>
      </c>
      <c r="O41" s="16">
        <f t="shared" si="13"/>
        <v>0</v>
      </c>
      <c r="P41" s="21">
        <v>0.0</v>
      </c>
      <c r="Q41" s="21">
        <v>0.0</v>
      </c>
      <c r="R41" s="16">
        <f t="shared" si="14"/>
        <v>0</v>
      </c>
      <c r="S41" s="21">
        <v>0.0</v>
      </c>
      <c r="T41" s="21">
        <v>0.0</v>
      </c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118</v>
      </c>
      <c r="N46" s="16">
        <f t="shared" si="16"/>
        <v>217</v>
      </c>
      <c r="O46" s="16">
        <f t="shared" si="16"/>
        <v>335</v>
      </c>
      <c r="P46" s="16">
        <f t="shared" si="16"/>
        <v>7</v>
      </c>
      <c r="Q46" s="16">
        <f t="shared" si="16"/>
        <v>54</v>
      </c>
      <c r="R46" s="16">
        <f t="shared" si="16"/>
        <v>61</v>
      </c>
      <c r="S46" s="16">
        <f t="shared" si="16"/>
        <v>62</v>
      </c>
      <c r="T46" s="16">
        <f t="shared" si="16"/>
        <v>206</v>
      </c>
      <c r="U46" s="16">
        <f t="shared" si="16"/>
        <v>268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34</v>
      </c>
      <c r="N47" s="16">
        <f t="shared" si="17"/>
        <v>57</v>
      </c>
      <c r="O47" s="16">
        <f t="shared" si="17"/>
        <v>91</v>
      </c>
      <c r="P47" s="16">
        <f t="shared" si="17"/>
        <v>2</v>
      </c>
      <c r="Q47" s="16">
        <f t="shared" si="17"/>
        <v>12</v>
      </c>
      <c r="R47" s="16">
        <f t="shared" si="17"/>
        <v>14</v>
      </c>
      <c r="S47" s="16">
        <f t="shared" si="17"/>
        <v>21</v>
      </c>
      <c r="T47" s="16">
        <f t="shared" si="17"/>
        <v>52</v>
      </c>
      <c r="U47" s="16">
        <f t="shared" si="17"/>
        <v>73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1">
        <v>24.0</v>
      </c>
      <c r="N48" s="21">
        <v>46.0</v>
      </c>
      <c r="O48" s="16">
        <f t="shared" ref="O48:O55" si="21">SUM(M48:N48)</f>
        <v>70</v>
      </c>
      <c r="P48" s="21">
        <v>2.0</v>
      </c>
      <c r="Q48" s="21">
        <v>6.0</v>
      </c>
      <c r="R48" s="16">
        <f t="shared" ref="R48:R55" si="22">SUM(P48:Q48)</f>
        <v>8</v>
      </c>
      <c r="S48" s="21">
        <v>18.0</v>
      </c>
      <c r="T48" s="21">
        <v>31.0</v>
      </c>
      <c r="U48" s="16">
        <f t="shared" ref="U48:U55" si="23">SUM(S48:T48)</f>
        <v>49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1">
        <v>0.0</v>
      </c>
      <c r="N49" s="21">
        <v>6.0</v>
      </c>
      <c r="O49" s="16">
        <f t="shared" si="21"/>
        <v>6</v>
      </c>
      <c r="P49" s="21">
        <v>0.0</v>
      </c>
      <c r="Q49" s="21">
        <v>2.0</v>
      </c>
      <c r="R49" s="16">
        <f t="shared" si="22"/>
        <v>2</v>
      </c>
      <c r="S49" s="21">
        <v>2.0</v>
      </c>
      <c r="T49" s="21">
        <v>18.0</v>
      </c>
      <c r="U49" s="16">
        <f t="shared" si="23"/>
        <v>20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1">
        <v>1.0</v>
      </c>
      <c r="N50" s="21">
        <v>0.0</v>
      </c>
      <c r="O50" s="16">
        <f t="shared" si="21"/>
        <v>1</v>
      </c>
      <c r="P50" s="21">
        <v>0.0</v>
      </c>
      <c r="Q50" s="21">
        <v>2.0</v>
      </c>
      <c r="R50" s="16">
        <f t="shared" si="22"/>
        <v>2</v>
      </c>
      <c r="S50" s="23"/>
      <c r="T50" s="21">
        <v>1.0</v>
      </c>
      <c r="U50" s="16">
        <f t="shared" si="23"/>
        <v>1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1">
        <v>3.0</v>
      </c>
      <c r="N51" s="21">
        <v>1.0</v>
      </c>
      <c r="O51" s="16">
        <f t="shared" si="21"/>
        <v>4</v>
      </c>
      <c r="P51" s="21">
        <v>0.0</v>
      </c>
      <c r="Q51" s="21">
        <v>2.0</v>
      </c>
      <c r="R51" s="16">
        <f t="shared" si="22"/>
        <v>2</v>
      </c>
      <c r="S51" s="21">
        <v>1.0</v>
      </c>
      <c r="T51" s="21">
        <v>2.0</v>
      </c>
      <c r="U51" s="16">
        <f t="shared" si="23"/>
        <v>3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1">
        <v>6.0</v>
      </c>
      <c r="N52" s="21">
        <v>4.0</v>
      </c>
      <c r="O52" s="16">
        <f t="shared" si="21"/>
        <v>10</v>
      </c>
      <c r="P52" s="21">
        <v>0.0</v>
      </c>
      <c r="Q52" s="21">
        <v>0.0</v>
      </c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1">
        <v>0.0</v>
      </c>
      <c r="N53" s="21">
        <v>0.0</v>
      </c>
      <c r="O53" s="16">
        <f t="shared" si="21"/>
        <v>0</v>
      </c>
      <c r="P53" s="21">
        <v>0.0</v>
      </c>
      <c r="Q53" s="21">
        <v>0.0</v>
      </c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1">
        <v>0.0</v>
      </c>
      <c r="N54" s="21">
        <v>0.0</v>
      </c>
      <c r="O54" s="16">
        <f t="shared" si="21"/>
        <v>0</v>
      </c>
      <c r="P54" s="21">
        <v>0.0</v>
      </c>
      <c r="Q54" s="21">
        <v>0.0</v>
      </c>
      <c r="R54" s="16">
        <f t="shared" si="22"/>
        <v>0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1">
        <v>0.0</v>
      </c>
      <c r="N55" s="21">
        <v>0.0</v>
      </c>
      <c r="O55" s="16">
        <f t="shared" si="21"/>
        <v>0</v>
      </c>
      <c r="P55" s="21">
        <v>0.0</v>
      </c>
      <c r="Q55" s="21">
        <v>0.0</v>
      </c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84</v>
      </c>
      <c r="N56" s="16">
        <f t="shared" si="24"/>
        <v>160</v>
      </c>
      <c r="O56" s="16">
        <f t="shared" si="24"/>
        <v>244</v>
      </c>
      <c r="P56" s="16">
        <f t="shared" si="24"/>
        <v>5</v>
      </c>
      <c r="Q56" s="16">
        <f t="shared" si="24"/>
        <v>42</v>
      </c>
      <c r="R56" s="16">
        <f t="shared" si="24"/>
        <v>47</v>
      </c>
      <c r="S56" s="16">
        <f t="shared" si="24"/>
        <v>41</v>
      </c>
      <c r="T56" s="16">
        <f t="shared" si="24"/>
        <v>154</v>
      </c>
      <c r="U56" s="16">
        <f t="shared" si="24"/>
        <v>195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1">
        <v>1.0</v>
      </c>
      <c r="N57" s="21">
        <v>5.0</v>
      </c>
      <c r="O57" s="16">
        <f t="shared" ref="O57:O79" si="28">SUM(M57:N57)</f>
        <v>6</v>
      </c>
      <c r="P57" s="21">
        <v>0.0</v>
      </c>
      <c r="Q57" s="21">
        <v>0.0</v>
      </c>
      <c r="R57" s="16">
        <f t="shared" ref="R57:R79" si="29">SUM(P57:Q57)</f>
        <v>0</v>
      </c>
      <c r="S57" s="21">
        <v>5.0</v>
      </c>
      <c r="T57" s="21">
        <v>13.0</v>
      </c>
      <c r="U57" s="16">
        <f t="shared" ref="U57:U79" si="30">SUM(S57:T57)</f>
        <v>18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1">
        <v>11.0</v>
      </c>
      <c r="N58" s="21">
        <v>15.0</v>
      </c>
      <c r="O58" s="16">
        <f t="shared" si="28"/>
        <v>26</v>
      </c>
      <c r="P58" s="21">
        <v>0.0</v>
      </c>
      <c r="Q58" s="21">
        <v>11.0</v>
      </c>
      <c r="R58" s="16">
        <f t="shared" si="29"/>
        <v>11</v>
      </c>
      <c r="S58" s="21">
        <v>4.0</v>
      </c>
      <c r="T58" s="21">
        <v>22.0</v>
      </c>
      <c r="U58" s="16">
        <f t="shared" si="30"/>
        <v>26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1">
        <v>0.0</v>
      </c>
      <c r="N59" s="21">
        <v>0.0</v>
      </c>
      <c r="O59" s="16">
        <f t="shared" si="28"/>
        <v>0</v>
      </c>
      <c r="P59" s="21">
        <v>0.0</v>
      </c>
      <c r="Q59" s="21">
        <v>0.0</v>
      </c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1">
        <v>0.0</v>
      </c>
      <c r="N60" s="21">
        <v>0.0</v>
      </c>
      <c r="O60" s="16">
        <f t="shared" si="28"/>
        <v>0</v>
      </c>
      <c r="P60" s="21">
        <v>0.0</v>
      </c>
      <c r="Q60" s="21">
        <v>0.0</v>
      </c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1">
        <v>0.0</v>
      </c>
      <c r="N61" s="21">
        <v>0.0</v>
      </c>
      <c r="O61" s="16">
        <f t="shared" si="28"/>
        <v>0</v>
      </c>
      <c r="P61" s="21">
        <v>0.0</v>
      </c>
      <c r="Q61" s="21">
        <v>4.0</v>
      </c>
      <c r="R61" s="16">
        <f t="shared" si="29"/>
        <v>4</v>
      </c>
      <c r="S61" s="21">
        <v>2.0</v>
      </c>
      <c r="T61" s="21">
        <v>17.0</v>
      </c>
      <c r="U61" s="16">
        <f t="shared" si="30"/>
        <v>19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1">
        <v>1.0</v>
      </c>
      <c r="N62" s="21">
        <v>1.0</v>
      </c>
      <c r="O62" s="16">
        <f t="shared" si="28"/>
        <v>2</v>
      </c>
      <c r="P62" s="21">
        <v>0.0</v>
      </c>
      <c r="Q62" s="21">
        <v>0.0</v>
      </c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1">
        <v>0.0</v>
      </c>
      <c r="N63" s="21">
        <v>0.0</v>
      </c>
      <c r="O63" s="16">
        <f t="shared" si="28"/>
        <v>0</v>
      </c>
      <c r="P63" s="21">
        <v>0.0</v>
      </c>
      <c r="Q63" s="21">
        <v>1.0</v>
      </c>
      <c r="R63" s="16">
        <f t="shared" si="29"/>
        <v>1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1">
        <v>24.0</v>
      </c>
      <c r="N64" s="21">
        <v>36.0</v>
      </c>
      <c r="O64" s="16">
        <f t="shared" si="28"/>
        <v>60</v>
      </c>
      <c r="P64" s="21">
        <v>1.0</v>
      </c>
      <c r="Q64" s="21">
        <v>1.0</v>
      </c>
      <c r="R64" s="16">
        <f t="shared" si="29"/>
        <v>2</v>
      </c>
      <c r="S64" s="21">
        <v>7.0</v>
      </c>
      <c r="T64" s="21">
        <v>14.0</v>
      </c>
      <c r="U64" s="16">
        <f t="shared" si="30"/>
        <v>21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1">
        <v>15.0</v>
      </c>
      <c r="N65" s="21">
        <v>30.0</v>
      </c>
      <c r="O65" s="16">
        <f t="shared" si="28"/>
        <v>45</v>
      </c>
      <c r="P65" s="21">
        <v>1.0</v>
      </c>
      <c r="Q65" s="21">
        <v>7.0</v>
      </c>
      <c r="R65" s="16">
        <f t="shared" si="29"/>
        <v>8</v>
      </c>
      <c r="S65" s="21">
        <v>14.0</v>
      </c>
      <c r="T65" s="21">
        <v>35.0</v>
      </c>
      <c r="U65" s="16">
        <f t="shared" si="30"/>
        <v>49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1">
        <v>8.0</v>
      </c>
      <c r="N66" s="21">
        <v>11.0</v>
      </c>
      <c r="O66" s="16">
        <f t="shared" si="28"/>
        <v>19</v>
      </c>
      <c r="P66" s="21">
        <v>0.0</v>
      </c>
      <c r="Q66" s="21">
        <v>2.0</v>
      </c>
      <c r="R66" s="16">
        <f t="shared" si="29"/>
        <v>2</v>
      </c>
      <c r="S66" s="21">
        <v>2.0</v>
      </c>
      <c r="T66" s="21">
        <v>4.0</v>
      </c>
      <c r="U66" s="16">
        <f t="shared" si="30"/>
        <v>6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1">
        <v>0.0</v>
      </c>
      <c r="N67" s="21">
        <v>0.0</v>
      </c>
      <c r="O67" s="16">
        <f t="shared" si="28"/>
        <v>0</v>
      </c>
      <c r="P67" s="21">
        <v>1.0</v>
      </c>
      <c r="Q67" s="21">
        <v>1.0</v>
      </c>
      <c r="R67" s="16">
        <f t="shared" si="29"/>
        <v>2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1">
        <v>17.0</v>
      </c>
      <c r="N68" s="21">
        <v>30.0</v>
      </c>
      <c r="O68" s="16">
        <f t="shared" si="28"/>
        <v>47</v>
      </c>
      <c r="P68" s="21">
        <v>2.0</v>
      </c>
      <c r="Q68" s="21">
        <v>1.0</v>
      </c>
      <c r="R68" s="16">
        <f t="shared" si="29"/>
        <v>3</v>
      </c>
      <c r="S68" s="21">
        <v>7.0</v>
      </c>
      <c r="T68" s="21">
        <v>16.0</v>
      </c>
      <c r="U68" s="16">
        <f t="shared" si="30"/>
        <v>23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1">
        <v>0.0</v>
      </c>
      <c r="N69" s="21">
        <v>5.0</v>
      </c>
      <c r="O69" s="16">
        <f t="shared" si="28"/>
        <v>5</v>
      </c>
      <c r="P69" s="21">
        <v>0.0</v>
      </c>
      <c r="Q69" s="21">
        <v>2.0</v>
      </c>
      <c r="R69" s="16">
        <f t="shared" si="29"/>
        <v>2</v>
      </c>
      <c r="S69" s="23"/>
      <c r="T69" s="23"/>
      <c r="U69" s="16">
        <f t="shared" si="30"/>
        <v>0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1">
        <v>1.0</v>
      </c>
      <c r="N70" s="21">
        <v>5.0</v>
      </c>
      <c r="O70" s="16">
        <f t="shared" si="28"/>
        <v>6</v>
      </c>
      <c r="P70" s="21">
        <v>0.0</v>
      </c>
      <c r="Q70" s="21">
        <v>3.0</v>
      </c>
      <c r="R70" s="16">
        <f t="shared" si="29"/>
        <v>3</v>
      </c>
      <c r="S70" s="23"/>
      <c r="T70" s="21">
        <v>7.0</v>
      </c>
      <c r="U70" s="16">
        <f t="shared" si="30"/>
        <v>7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1">
        <v>1.0</v>
      </c>
      <c r="N71" s="21">
        <v>5.0</v>
      </c>
      <c r="O71" s="16">
        <f t="shared" si="28"/>
        <v>6</v>
      </c>
      <c r="P71" s="21">
        <v>0.0</v>
      </c>
      <c r="Q71" s="21">
        <v>3.0</v>
      </c>
      <c r="R71" s="16">
        <f t="shared" si="29"/>
        <v>3</v>
      </c>
      <c r="S71" s="23"/>
      <c r="T71" s="21">
        <v>7.0</v>
      </c>
      <c r="U71" s="16">
        <f t="shared" si="30"/>
        <v>7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1">
        <v>3.0</v>
      </c>
      <c r="N72" s="21">
        <v>5.0</v>
      </c>
      <c r="O72" s="16">
        <f t="shared" si="28"/>
        <v>8</v>
      </c>
      <c r="P72" s="21">
        <v>0.0</v>
      </c>
      <c r="Q72" s="21">
        <v>2.0</v>
      </c>
      <c r="R72" s="16">
        <f t="shared" si="29"/>
        <v>2</v>
      </c>
      <c r="S72" s="23"/>
      <c r="T72" s="21">
        <v>5.0</v>
      </c>
      <c r="U72" s="16">
        <f t="shared" si="30"/>
        <v>5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1">
        <v>0.0</v>
      </c>
      <c r="N73" s="21">
        <v>3.0</v>
      </c>
      <c r="O73" s="16">
        <f t="shared" si="28"/>
        <v>3</v>
      </c>
      <c r="P73" s="21">
        <v>0.0</v>
      </c>
      <c r="Q73" s="21">
        <v>3.0</v>
      </c>
      <c r="R73" s="16">
        <f t="shared" si="29"/>
        <v>3</v>
      </c>
      <c r="S73" s="23"/>
      <c r="T73" s="21">
        <v>9.0</v>
      </c>
      <c r="U73" s="16">
        <f t="shared" si="30"/>
        <v>9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1">
        <v>0.0</v>
      </c>
      <c r="N74" s="21">
        <v>0.0</v>
      </c>
      <c r="O74" s="16">
        <f t="shared" si="28"/>
        <v>0</v>
      </c>
      <c r="P74" s="21">
        <v>0.0</v>
      </c>
      <c r="Q74" s="21">
        <v>0.0</v>
      </c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1">
        <v>0.0</v>
      </c>
      <c r="N75" s="21">
        <v>0.0</v>
      </c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1">
        <v>0.0</v>
      </c>
      <c r="N76" s="21">
        <v>7.0</v>
      </c>
      <c r="O76" s="16">
        <f t="shared" si="28"/>
        <v>7</v>
      </c>
      <c r="P76" s="21">
        <v>0.0</v>
      </c>
      <c r="Q76" s="21">
        <v>1.0</v>
      </c>
      <c r="R76" s="16">
        <f t="shared" si="29"/>
        <v>1</v>
      </c>
      <c r="S76" s="23"/>
      <c r="T76" s="21">
        <v>5.0</v>
      </c>
      <c r="U76" s="16">
        <f t="shared" si="30"/>
        <v>5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1">
        <v>1.0</v>
      </c>
      <c r="N77" s="21">
        <v>0.0</v>
      </c>
      <c r="O77" s="16">
        <f t="shared" si="28"/>
        <v>1</v>
      </c>
      <c r="P77" s="21">
        <v>0.0</v>
      </c>
      <c r="Q77" s="21">
        <v>0.0</v>
      </c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1">
        <v>1.0</v>
      </c>
      <c r="N78" s="21">
        <v>2.0</v>
      </c>
      <c r="O78" s="16">
        <f t="shared" si="28"/>
        <v>3</v>
      </c>
      <c r="P78" s="21">
        <v>0.0</v>
      </c>
      <c r="Q78" s="21">
        <v>0.0</v>
      </c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1">
        <v>0.0</v>
      </c>
      <c r="N79" s="21">
        <v>0.0</v>
      </c>
      <c r="O79" s="16">
        <f t="shared" si="28"/>
        <v>0</v>
      </c>
      <c r="P79" s="21">
        <v>0.0</v>
      </c>
      <c r="Q79" s="21">
        <v>0.0</v>
      </c>
      <c r="R79" s="16">
        <f t="shared" si="29"/>
        <v>0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24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493</v>
      </c>
      <c r="E8" s="16">
        <f t="shared" si="1"/>
        <v>1396</v>
      </c>
      <c r="F8" s="16">
        <f t="shared" si="1"/>
        <v>1889</v>
      </c>
      <c r="G8" s="16">
        <f t="shared" si="1"/>
        <v>252</v>
      </c>
      <c r="H8" s="16">
        <f t="shared" si="1"/>
        <v>615</v>
      </c>
      <c r="I8" s="16">
        <f t="shared" si="1"/>
        <v>867</v>
      </c>
      <c r="J8" s="16">
        <f t="shared" si="1"/>
        <v>172</v>
      </c>
      <c r="K8" s="16">
        <f t="shared" si="1"/>
        <v>622</v>
      </c>
      <c r="L8" s="16">
        <f t="shared" si="1"/>
        <v>794</v>
      </c>
      <c r="M8" s="16">
        <f t="shared" si="1"/>
        <v>114</v>
      </c>
      <c r="N8" s="16">
        <f t="shared" si="1"/>
        <v>622</v>
      </c>
      <c r="O8" s="16">
        <f t="shared" si="1"/>
        <v>736</v>
      </c>
      <c r="P8" s="16">
        <f t="shared" si="1"/>
        <v>139</v>
      </c>
      <c r="Q8" s="16">
        <f t="shared" si="1"/>
        <v>538</v>
      </c>
      <c r="R8" s="16">
        <f t="shared" si="1"/>
        <v>677</v>
      </c>
      <c r="S8" s="16">
        <f t="shared" si="1"/>
        <v>95</v>
      </c>
      <c r="T8" s="16">
        <f t="shared" si="1"/>
        <v>201</v>
      </c>
      <c r="U8" s="16">
        <f t="shared" si="1"/>
        <v>296</v>
      </c>
    </row>
    <row r="9">
      <c r="A9" s="17">
        <v>2.0</v>
      </c>
      <c r="B9" s="18" t="s">
        <v>15</v>
      </c>
      <c r="C9" s="9"/>
      <c r="D9" s="16">
        <f t="shared" ref="D9:U9" si="2">SUM(D10:D17)</f>
        <v>73</v>
      </c>
      <c r="E9" s="16">
        <f t="shared" si="2"/>
        <v>257</v>
      </c>
      <c r="F9" s="16">
        <f t="shared" si="2"/>
        <v>330</v>
      </c>
      <c r="G9" s="16">
        <f t="shared" si="2"/>
        <v>73</v>
      </c>
      <c r="H9" s="16">
        <f t="shared" si="2"/>
        <v>159</v>
      </c>
      <c r="I9" s="16">
        <f t="shared" si="2"/>
        <v>232</v>
      </c>
      <c r="J9" s="16">
        <f t="shared" si="2"/>
        <v>86</v>
      </c>
      <c r="K9" s="16">
        <f t="shared" si="2"/>
        <v>311</v>
      </c>
      <c r="L9" s="16">
        <f t="shared" si="2"/>
        <v>397</v>
      </c>
      <c r="M9" s="16">
        <f t="shared" si="2"/>
        <v>44</v>
      </c>
      <c r="N9" s="16">
        <f t="shared" si="2"/>
        <v>181</v>
      </c>
      <c r="O9" s="16">
        <f t="shared" si="2"/>
        <v>225</v>
      </c>
      <c r="P9" s="16">
        <f t="shared" si="2"/>
        <v>39</v>
      </c>
      <c r="Q9" s="16">
        <f t="shared" si="2"/>
        <v>115</v>
      </c>
      <c r="R9" s="16">
        <f t="shared" si="2"/>
        <v>154</v>
      </c>
      <c r="S9" s="16">
        <f t="shared" si="2"/>
        <v>27</v>
      </c>
      <c r="T9" s="16">
        <f t="shared" si="2"/>
        <v>74</v>
      </c>
      <c r="U9" s="16">
        <f t="shared" si="2"/>
        <v>101</v>
      </c>
    </row>
    <row r="10">
      <c r="A10" s="19"/>
      <c r="B10" s="20" t="s">
        <v>16</v>
      </c>
      <c r="C10" s="21" t="s">
        <v>17</v>
      </c>
      <c r="D10" s="21">
        <v>34.0</v>
      </c>
      <c r="E10" s="21">
        <v>81.0</v>
      </c>
      <c r="F10" s="16">
        <f t="shared" ref="F10:F17" si="3">SUM(D10:E10)</f>
        <v>115</v>
      </c>
      <c r="G10" s="21">
        <v>71.0</v>
      </c>
      <c r="H10" s="21">
        <v>106.0</v>
      </c>
      <c r="I10" s="16">
        <f t="shared" ref="I10:I17" si="4">SUM(G10:H10)</f>
        <v>177</v>
      </c>
      <c r="J10" s="21">
        <v>83.0</v>
      </c>
      <c r="K10" s="21">
        <v>146.0</v>
      </c>
      <c r="L10" s="16">
        <f t="shared" ref="L10:L17" si="5">SUM(J10:K10)</f>
        <v>229</v>
      </c>
      <c r="M10" s="21">
        <v>23.0</v>
      </c>
      <c r="N10" s="21">
        <v>65.0</v>
      </c>
      <c r="O10" s="16">
        <f t="shared" ref="O10:O17" si="6">SUM(M10:N10)</f>
        <v>88</v>
      </c>
      <c r="P10" s="21">
        <v>38.0</v>
      </c>
      <c r="Q10" s="21">
        <v>70.0</v>
      </c>
      <c r="R10" s="16">
        <f t="shared" ref="R10:R17" si="7">SUM(P10:Q10)</f>
        <v>108</v>
      </c>
      <c r="S10" s="21">
        <v>27.0</v>
      </c>
      <c r="T10" s="23">
        <f>82-S10</f>
        <v>55</v>
      </c>
      <c r="U10" s="16">
        <f t="shared" ref="U10:U17" si="8">SUM(S10:T10)</f>
        <v>82</v>
      </c>
    </row>
    <row r="11">
      <c r="A11" s="19"/>
      <c r="B11" s="20" t="s">
        <v>19</v>
      </c>
      <c r="C11" s="21" t="s">
        <v>20</v>
      </c>
      <c r="D11" s="21">
        <v>4.0</v>
      </c>
      <c r="E11" s="21">
        <v>59.0</v>
      </c>
      <c r="F11" s="16">
        <f t="shared" si="3"/>
        <v>63</v>
      </c>
      <c r="G11" s="21">
        <v>0.0</v>
      </c>
      <c r="H11" s="21">
        <v>34.0</v>
      </c>
      <c r="I11" s="16">
        <f t="shared" si="4"/>
        <v>34</v>
      </c>
      <c r="J11" s="21">
        <v>0.0</v>
      </c>
      <c r="K11" s="21">
        <v>150.0</v>
      </c>
      <c r="L11" s="16">
        <f t="shared" si="5"/>
        <v>150</v>
      </c>
      <c r="M11" s="21">
        <v>0.0</v>
      </c>
      <c r="N11" s="21">
        <v>38.0</v>
      </c>
      <c r="O11" s="16">
        <f t="shared" si="6"/>
        <v>38</v>
      </c>
      <c r="P11" s="21">
        <v>0.0</v>
      </c>
      <c r="Q11" s="21">
        <v>39.0</v>
      </c>
      <c r="R11" s="16">
        <f t="shared" si="7"/>
        <v>39</v>
      </c>
      <c r="S11" s="21">
        <v>0.0</v>
      </c>
      <c r="T11" s="21">
        <v>19.0</v>
      </c>
      <c r="U11" s="16">
        <f t="shared" si="8"/>
        <v>19</v>
      </c>
    </row>
    <row r="12">
      <c r="A12" s="19"/>
      <c r="B12" s="20" t="s">
        <v>22</v>
      </c>
      <c r="C12" s="21" t="s">
        <v>23</v>
      </c>
      <c r="D12" s="23"/>
      <c r="E12" s="23"/>
      <c r="F12" s="16">
        <f t="shared" si="3"/>
        <v>0</v>
      </c>
      <c r="G12" s="21">
        <v>0.0</v>
      </c>
      <c r="H12" s="21">
        <v>0.0</v>
      </c>
      <c r="I12" s="16">
        <f t="shared" si="4"/>
        <v>0</v>
      </c>
      <c r="J12" s="23"/>
      <c r="K12" s="23"/>
      <c r="L12" s="16">
        <f t="shared" si="5"/>
        <v>0</v>
      </c>
      <c r="M12" s="21">
        <v>0.0</v>
      </c>
      <c r="N12" s="21">
        <v>1.0</v>
      </c>
      <c r="O12" s="16">
        <f t="shared" si="6"/>
        <v>1</v>
      </c>
      <c r="P12" s="21">
        <v>0.0</v>
      </c>
      <c r="Q12" s="21">
        <v>0.0</v>
      </c>
      <c r="R12" s="16">
        <f t="shared" si="7"/>
        <v>0</v>
      </c>
      <c r="S12" s="21">
        <v>0.0</v>
      </c>
      <c r="T12" s="21">
        <v>0.0</v>
      </c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3"/>
      <c r="E13" s="23"/>
      <c r="F13" s="16">
        <f t="shared" si="3"/>
        <v>0</v>
      </c>
      <c r="G13" s="21">
        <v>0.0</v>
      </c>
      <c r="H13" s="21">
        <v>1.0</v>
      </c>
      <c r="I13" s="16">
        <f t="shared" si="4"/>
        <v>1</v>
      </c>
      <c r="J13" s="23"/>
      <c r="K13" s="23"/>
      <c r="L13" s="16">
        <f t="shared" si="5"/>
        <v>0</v>
      </c>
      <c r="M13" s="21">
        <v>3.0</v>
      </c>
      <c r="N13" s="21">
        <v>6.0</v>
      </c>
      <c r="O13" s="16">
        <f t="shared" si="6"/>
        <v>9</v>
      </c>
      <c r="P13" s="21">
        <v>1.0</v>
      </c>
      <c r="Q13" s="21">
        <v>3.0</v>
      </c>
      <c r="R13" s="16">
        <f t="shared" si="7"/>
        <v>4</v>
      </c>
      <c r="S13" s="21">
        <v>0.0</v>
      </c>
      <c r="T13" s="21">
        <v>0.0</v>
      </c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3"/>
      <c r="E14" s="23"/>
      <c r="F14" s="16">
        <f t="shared" si="3"/>
        <v>0</v>
      </c>
      <c r="G14" s="21">
        <v>0.0</v>
      </c>
      <c r="H14" s="21">
        <v>2.0</v>
      </c>
      <c r="I14" s="16">
        <f t="shared" si="4"/>
        <v>2</v>
      </c>
      <c r="J14" s="21">
        <v>2.0</v>
      </c>
      <c r="K14" s="21">
        <v>1.0</v>
      </c>
      <c r="L14" s="16">
        <f t="shared" si="5"/>
        <v>3</v>
      </c>
      <c r="M14" s="21">
        <v>0.0</v>
      </c>
      <c r="N14" s="21">
        <v>1.0</v>
      </c>
      <c r="O14" s="16">
        <f t="shared" si="6"/>
        <v>1</v>
      </c>
      <c r="P14" s="21">
        <v>0.0</v>
      </c>
      <c r="Q14" s="21">
        <v>0.0</v>
      </c>
      <c r="R14" s="16">
        <f t="shared" si="7"/>
        <v>0</v>
      </c>
      <c r="S14" s="21">
        <v>0.0</v>
      </c>
      <c r="T14" s="21">
        <v>0.0</v>
      </c>
      <c r="U14" s="16">
        <f t="shared" si="8"/>
        <v>0</v>
      </c>
    </row>
    <row r="15">
      <c r="A15" s="19"/>
      <c r="B15" s="20" t="s">
        <v>29</v>
      </c>
      <c r="C15" s="21" t="s">
        <v>30</v>
      </c>
      <c r="D15" s="21">
        <v>6.0</v>
      </c>
      <c r="E15" s="21">
        <v>5.0</v>
      </c>
      <c r="F15" s="16">
        <f t="shared" si="3"/>
        <v>11</v>
      </c>
      <c r="G15" s="21">
        <v>0.0</v>
      </c>
      <c r="H15" s="21">
        <v>7.0</v>
      </c>
      <c r="I15" s="16">
        <f t="shared" si="4"/>
        <v>7</v>
      </c>
      <c r="J15" s="21">
        <v>1.0</v>
      </c>
      <c r="K15" s="21">
        <v>10.0</v>
      </c>
      <c r="L15" s="16">
        <f t="shared" si="5"/>
        <v>11</v>
      </c>
      <c r="M15" s="21">
        <v>1.0</v>
      </c>
      <c r="N15" s="21">
        <v>0.0</v>
      </c>
      <c r="O15" s="16">
        <f t="shared" si="6"/>
        <v>1</v>
      </c>
      <c r="P15" s="21">
        <v>0.0</v>
      </c>
      <c r="Q15" s="21">
        <v>0.0</v>
      </c>
      <c r="R15" s="16">
        <f t="shared" si="7"/>
        <v>0</v>
      </c>
      <c r="S15" s="21">
        <v>0.0</v>
      </c>
      <c r="T15" s="21">
        <v>0.0</v>
      </c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3"/>
      <c r="E16" s="23"/>
      <c r="F16" s="16">
        <f t="shared" si="3"/>
        <v>0</v>
      </c>
      <c r="G16" s="21">
        <v>2.0</v>
      </c>
      <c r="H16" s="21">
        <v>9.0</v>
      </c>
      <c r="I16" s="16">
        <f t="shared" si="4"/>
        <v>11</v>
      </c>
      <c r="J16" s="21">
        <v>0.0</v>
      </c>
      <c r="K16" s="21">
        <v>4.0</v>
      </c>
      <c r="L16" s="16">
        <f t="shared" si="5"/>
        <v>4</v>
      </c>
      <c r="M16" s="21">
        <v>4.0</v>
      </c>
      <c r="N16" s="21">
        <v>20.0</v>
      </c>
      <c r="O16" s="16">
        <f t="shared" si="6"/>
        <v>24</v>
      </c>
      <c r="P16" s="21">
        <v>0.0</v>
      </c>
      <c r="Q16" s="21">
        <v>3.0</v>
      </c>
      <c r="R16" s="16">
        <f t="shared" si="7"/>
        <v>3</v>
      </c>
      <c r="S16" s="21">
        <v>0.0</v>
      </c>
      <c r="T16" s="21">
        <v>0.0</v>
      </c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1">
        <v>29.0</v>
      </c>
      <c r="E17" s="21">
        <v>112.0</v>
      </c>
      <c r="F17" s="16">
        <f t="shared" si="3"/>
        <v>141</v>
      </c>
      <c r="G17" s="21">
        <v>0.0</v>
      </c>
      <c r="H17" s="21">
        <v>0.0</v>
      </c>
      <c r="I17" s="16">
        <f t="shared" si="4"/>
        <v>0</v>
      </c>
      <c r="J17" s="23"/>
      <c r="K17" s="23"/>
      <c r="L17" s="16">
        <f t="shared" si="5"/>
        <v>0</v>
      </c>
      <c r="M17" s="21">
        <v>13.0</v>
      </c>
      <c r="N17" s="21">
        <v>50.0</v>
      </c>
      <c r="O17" s="16">
        <f t="shared" si="6"/>
        <v>63</v>
      </c>
      <c r="P17" s="21">
        <v>0.0</v>
      </c>
      <c r="Q17" s="21">
        <v>0.0</v>
      </c>
      <c r="R17" s="16">
        <f t="shared" si="7"/>
        <v>0</v>
      </c>
      <c r="S17" s="21">
        <v>0.0</v>
      </c>
      <c r="T17" s="21">
        <v>0.0</v>
      </c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420</v>
      </c>
      <c r="E18" s="16">
        <f t="shared" si="9"/>
        <v>1139</v>
      </c>
      <c r="F18" s="16">
        <f t="shared" si="9"/>
        <v>1559</v>
      </c>
      <c r="G18" s="16">
        <f t="shared" si="9"/>
        <v>179</v>
      </c>
      <c r="H18" s="16">
        <f t="shared" si="9"/>
        <v>456</v>
      </c>
      <c r="I18" s="16">
        <f t="shared" si="9"/>
        <v>635</v>
      </c>
      <c r="J18" s="16">
        <f t="shared" si="9"/>
        <v>86</v>
      </c>
      <c r="K18" s="16">
        <f t="shared" si="9"/>
        <v>311</v>
      </c>
      <c r="L18" s="16">
        <f t="shared" si="9"/>
        <v>397</v>
      </c>
      <c r="M18" s="16">
        <f t="shared" si="9"/>
        <v>70</v>
      </c>
      <c r="N18" s="16">
        <f t="shared" si="9"/>
        <v>441</v>
      </c>
      <c r="O18" s="16">
        <f t="shared" si="9"/>
        <v>511</v>
      </c>
      <c r="P18" s="16">
        <f t="shared" si="9"/>
        <v>100</v>
      </c>
      <c r="Q18" s="16">
        <f t="shared" si="9"/>
        <v>423</v>
      </c>
      <c r="R18" s="16">
        <f t="shared" si="9"/>
        <v>523</v>
      </c>
      <c r="S18" s="16">
        <f t="shared" si="9"/>
        <v>68</v>
      </c>
      <c r="T18" s="16">
        <f t="shared" si="9"/>
        <v>127</v>
      </c>
      <c r="U18" s="16">
        <f t="shared" si="9"/>
        <v>195</v>
      </c>
    </row>
    <row r="19">
      <c r="A19" s="19"/>
      <c r="B19" s="20" t="s">
        <v>16</v>
      </c>
      <c r="C19" s="21" t="s">
        <v>36</v>
      </c>
      <c r="D19" s="21">
        <v>7.0</v>
      </c>
      <c r="E19" s="21">
        <v>16.0</v>
      </c>
      <c r="F19" s="16">
        <f t="shared" ref="F19:F41" si="10">SUM(D19:E19)</f>
        <v>23</v>
      </c>
      <c r="G19" s="21">
        <v>14.0</v>
      </c>
      <c r="H19" s="21">
        <v>22.0</v>
      </c>
      <c r="I19" s="16">
        <f t="shared" ref="I19:I41" si="11">SUM(G19:H19)</f>
        <v>36</v>
      </c>
      <c r="J19" s="21">
        <v>7.0</v>
      </c>
      <c r="K19" s="21">
        <v>11.0</v>
      </c>
      <c r="L19" s="16">
        <f t="shared" ref="L19:L41" si="12">SUM(J19:K19)</f>
        <v>18</v>
      </c>
      <c r="M19" s="21">
        <v>0.0</v>
      </c>
      <c r="N19" s="21">
        <v>6.0</v>
      </c>
      <c r="O19" s="16">
        <f t="shared" ref="O19:O41" si="13">SUM(M19:N19)</f>
        <v>6</v>
      </c>
      <c r="P19" s="21">
        <v>5.0</v>
      </c>
      <c r="Q19" s="21">
        <v>22.0</v>
      </c>
      <c r="R19" s="16">
        <f t="shared" ref="R19:R41" si="14">SUM(P19:Q19)</f>
        <v>27</v>
      </c>
      <c r="S19" s="21">
        <v>0.0</v>
      </c>
      <c r="T19" s="21">
        <v>6.0</v>
      </c>
      <c r="U19" s="16">
        <f t="shared" ref="U19:U41" si="15">SUM(S19:T19)</f>
        <v>6</v>
      </c>
    </row>
    <row r="20">
      <c r="A20" s="19"/>
      <c r="B20" s="20" t="s">
        <v>19</v>
      </c>
      <c r="C20" s="21" t="s">
        <v>37</v>
      </c>
      <c r="D20" s="21">
        <v>1.0</v>
      </c>
      <c r="E20" s="21">
        <v>51.0</v>
      </c>
      <c r="F20" s="16">
        <f t="shared" si="10"/>
        <v>52</v>
      </c>
      <c r="G20" s="21">
        <v>2.0</v>
      </c>
      <c r="H20" s="21">
        <v>41.0</v>
      </c>
      <c r="I20" s="16">
        <f t="shared" si="11"/>
        <v>43</v>
      </c>
      <c r="J20" s="21">
        <v>2.0</v>
      </c>
      <c r="K20" s="21">
        <v>32.0</v>
      </c>
      <c r="L20" s="16">
        <f t="shared" si="12"/>
        <v>34</v>
      </c>
      <c r="M20" s="21">
        <v>3.0</v>
      </c>
      <c r="N20" s="21">
        <v>53.0</v>
      </c>
      <c r="O20" s="16">
        <f t="shared" si="13"/>
        <v>56</v>
      </c>
      <c r="P20" s="21">
        <v>7.0</v>
      </c>
      <c r="Q20" s="21">
        <v>50.0</v>
      </c>
      <c r="R20" s="16">
        <f t="shared" si="14"/>
        <v>57</v>
      </c>
      <c r="S20" s="21">
        <v>0.0</v>
      </c>
      <c r="T20" s="21">
        <v>15.0</v>
      </c>
      <c r="U20" s="16">
        <f t="shared" si="15"/>
        <v>15</v>
      </c>
    </row>
    <row r="21">
      <c r="A21" s="19"/>
      <c r="B21" s="20" t="s">
        <v>22</v>
      </c>
      <c r="C21" s="21" t="s">
        <v>38</v>
      </c>
      <c r="D21" s="21">
        <v>1.0</v>
      </c>
      <c r="E21" s="21">
        <v>5.0</v>
      </c>
      <c r="F21" s="16">
        <f t="shared" si="10"/>
        <v>6</v>
      </c>
      <c r="G21" s="21">
        <v>0.0</v>
      </c>
      <c r="H21" s="21">
        <v>0.0</v>
      </c>
      <c r="I21" s="16">
        <f t="shared" si="11"/>
        <v>0</v>
      </c>
      <c r="J21" s="23"/>
      <c r="K21" s="23"/>
      <c r="L21" s="16">
        <f t="shared" si="12"/>
        <v>0</v>
      </c>
      <c r="M21" s="21">
        <v>0.0</v>
      </c>
      <c r="N21" s="21">
        <v>0.0</v>
      </c>
      <c r="O21" s="16">
        <f t="shared" si="13"/>
        <v>0</v>
      </c>
      <c r="P21" s="21">
        <v>0.0</v>
      </c>
      <c r="Q21" s="21">
        <v>0.0</v>
      </c>
      <c r="R21" s="16">
        <f t="shared" si="14"/>
        <v>0</v>
      </c>
      <c r="S21" s="21">
        <v>0.0</v>
      </c>
      <c r="T21" s="21">
        <v>2.0</v>
      </c>
      <c r="U21" s="16">
        <f t="shared" si="15"/>
        <v>2</v>
      </c>
    </row>
    <row r="22">
      <c r="A22" s="19"/>
      <c r="B22" s="20" t="s">
        <v>25</v>
      </c>
      <c r="C22" s="21" t="s">
        <v>39</v>
      </c>
      <c r="D22" s="21">
        <v>1.0</v>
      </c>
      <c r="E22" s="21">
        <v>5.0</v>
      </c>
      <c r="F22" s="16">
        <f t="shared" si="10"/>
        <v>6</v>
      </c>
      <c r="G22" s="21">
        <v>0.0</v>
      </c>
      <c r="H22" s="21">
        <v>0.0</v>
      </c>
      <c r="I22" s="16">
        <f t="shared" si="11"/>
        <v>0</v>
      </c>
      <c r="J22" s="23"/>
      <c r="K22" s="23"/>
      <c r="L22" s="16">
        <f t="shared" si="12"/>
        <v>0</v>
      </c>
      <c r="M22" s="21">
        <v>0.0</v>
      </c>
      <c r="N22" s="21">
        <v>0.0</v>
      </c>
      <c r="O22" s="16">
        <f t="shared" si="13"/>
        <v>0</v>
      </c>
      <c r="P22" s="21">
        <v>0.0</v>
      </c>
      <c r="Q22" s="21">
        <v>0.0</v>
      </c>
      <c r="R22" s="16">
        <f t="shared" si="14"/>
        <v>0</v>
      </c>
      <c r="S22" s="21">
        <v>0.0</v>
      </c>
      <c r="T22" s="21">
        <v>0.0</v>
      </c>
      <c r="U22" s="16">
        <f t="shared" si="15"/>
        <v>0</v>
      </c>
    </row>
    <row r="23">
      <c r="A23" s="19"/>
      <c r="B23" s="20" t="s">
        <v>27</v>
      </c>
      <c r="C23" s="21" t="s">
        <v>80</v>
      </c>
      <c r="D23" s="23"/>
      <c r="E23" s="23"/>
      <c r="F23" s="16">
        <f t="shared" si="10"/>
        <v>0</v>
      </c>
      <c r="G23" s="21">
        <v>0.0</v>
      </c>
      <c r="H23" s="21">
        <v>0.0</v>
      </c>
      <c r="I23" s="16">
        <f t="shared" si="11"/>
        <v>0</v>
      </c>
      <c r="J23" s="21">
        <v>1.0</v>
      </c>
      <c r="K23" s="21">
        <v>32.0</v>
      </c>
      <c r="L23" s="16">
        <f t="shared" si="12"/>
        <v>33</v>
      </c>
      <c r="M23" s="21">
        <v>0.0</v>
      </c>
      <c r="N23" s="21">
        <v>0.0</v>
      </c>
      <c r="O23" s="16">
        <f t="shared" si="13"/>
        <v>0</v>
      </c>
      <c r="P23" s="21">
        <v>0.0</v>
      </c>
      <c r="Q23" s="21">
        <v>0.0</v>
      </c>
      <c r="R23" s="16">
        <f t="shared" si="14"/>
        <v>0</v>
      </c>
      <c r="S23" s="21">
        <v>0.0</v>
      </c>
      <c r="T23" s="21">
        <v>0.0</v>
      </c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1">
        <v>0.0</v>
      </c>
      <c r="H24" s="21">
        <v>0.0</v>
      </c>
      <c r="I24" s="16">
        <f t="shared" si="11"/>
        <v>0</v>
      </c>
      <c r="J24" s="23"/>
      <c r="K24" s="23"/>
      <c r="L24" s="16">
        <f t="shared" si="12"/>
        <v>0</v>
      </c>
      <c r="M24" s="21">
        <v>0.0</v>
      </c>
      <c r="N24" s="21">
        <v>0.0</v>
      </c>
      <c r="O24" s="16">
        <f t="shared" si="13"/>
        <v>0</v>
      </c>
      <c r="P24" s="21">
        <v>0.0</v>
      </c>
      <c r="Q24" s="21">
        <v>0.0</v>
      </c>
      <c r="R24" s="16">
        <f t="shared" si="14"/>
        <v>0</v>
      </c>
      <c r="S24" s="21">
        <v>0.0</v>
      </c>
      <c r="T24" s="21">
        <v>0.0</v>
      </c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3"/>
      <c r="E25" s="23"/>
      <c r="F25" s="16">
        <f t="shared" si="10"/>
        <v>0</v>
      </c>
      <c r="G25" s="21">
        <v>0.0</v>
      </c>
      <c r="H25" s="21">
        <v>19.0</v>
      </c>
      <c r="I25" s="16">
        <f t="shared" si="11"/>
        <v>19</v>
      </c>
      <c r="J25" s="23"/>
      <c r="K25" s="23"/>
      <c r="L25" s="16">
        <f t="shared" si="12"/>
        <v>0</v>
      </c>
      <c r="M25" s="21">
        <v>0.0</v>
      </c>
      <c r="N25" s="21">
        <v>0.0</v>
      </c>
      <c r="O25" s="16">
        <f t="shared" si="13"/>
        <v>0</v>
      </c>
      <c r="P25" s="21">
        <v>0.0</v>
      </c>
      <c r="Q25" s="21">
        <v>0.0</v>
      </c>
      <c r="R25" s="16">
        <f t="shared" si="14"/>
        <v>0</v>
      </c>
      <c r="S25" s="21">
        <v>0.0</v>
      </c>
      <c r="T25" s="21">
        <v>0.0</v>
      </c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1">
        <v>90.0</v>
      </c>
      <c r="E26" s="21">
        <v>184.0</v>
      </c>
      <c r="F26" s="16">
        <f t="shared" si="10"/>
        <v>274</v>
      </c>
      <c r="G26" s="21">
        <v>36.0</v>
      </c>
      <c r="H26" s="21">
        <v>56.0</v>
      </c>
      <c r="I26" s="16">
        <f t="shared" si="11"/>
        <v>92</v>
      </c>
      <c r="J26" s="21">
        <v>24.0</v>
      </c>
      <c r="K26" s="21">
        <v>40.0</v>
      </c>
      <c r="L26" s="16">
        <f t="shared" si="12"/>
        <v>64</v>
      </c>
      <c r="M26" s="21">
        <v>18.0</v>
      </c>
      <c r="N26" s="21">
        <v>77.0</v>
      </c>
      <c r="O26" s="16">
        <f t="shared" si="13"/>
        <v>95</v>
      </c>
      <c r="P26" s="21">
        <v>19.0</v>
      </c>
      <c r="Q26" s="21">
        <v>46.0</v>
      </c>
      <c r="R26" s="16">
        <f t="shared" si="14"/>
        <v>65</v>
      </c>
      <c r="S26" s="21">
        <f>33-T26</f>
        <v>17</v>
      </c>
      <c r="T26" s="21">
        <v>16.0</v>
      </c>
      <c r="U26" s="16">
        <f t="shared" si="15"/>
        <v>33</v>
      </c>
    </row>
    <row r="27">
      <c r="A27" s="19"/>
      <c r="B27" s="20" t="s">
        <v>44</v>
      </c>
      <c r="C27" s="21" t="s">
        <v>45</v>
      </c>
      <c r="D27" s="21">
        <v>183.0</v>
      </c>
      <c r="E27" s="21">
        <v>411.0</v>
      </c>
      <c r="F27" s="16">
        <f t="shared" si="10"/>
        <v>594</v>
      </c>
      <c r="G27" s="21">
        <v>41.0</v>
      </c>
      <c r="H27" s="21">
        <v>88.0</v>
      </c>
      <c r="I27" s="16">
        <f t="shared" si="11"/>
        <v>129</v>
      </c>
      <c r="J27" s="21">
        <v>31.0</v>
      </c>
      <c r="K27" s="21">
        <v>66.0</v>
      </c>
      <c r="L27" s="16">
        <f t="shared" si="12"/>
        <v>97</v>
      </c>
      <c r="M27" s="21">
        <v>22.0</v>
      </c>
      <c r="N27" s="21">
        <v>98.0</v>
      </c>
      <c r="O27" s="16">
        <f t="shared" si="13"/>
        <v>120</v>
      </c>
      <c r="P27" s="21">
        <v>21.0</v>
      </c>
      <c r="Q27" s="21">
        <v>91.0</v>
      </c>
      <c r="R27" s="16">
        <f t="shared" si="14"/>
        <v>112</v>
      </c>
      <c r="S27" s="23">
        <f>32-T27</f>
        <v>17</v>
      </c>
      <c r="T27" s="21">
        <v>15.0</v>
      </c>
      <c r="U27" s="16">
        <f t="shared" si="15"/>
        <v>32</v>
      </c>
    </row>
    <row r="28">
      <c r="A28" s="19"/>
      <c r="B28" s="20" t="s">
        <v>46</v>
      </c>
      <c r="C28" s="21" t="s">
        <v>47</v>
      </c>
      <c r="D28" s="21">
        <v>29.0</v>
      </c>
      <c r="E28" s="21">
        <v>69.0</v>
      </c>
      <c r="F28" s="16">
        <f t="shared" si="10"/>
        <v>98</v>
      </c>
      <c r="G28" s="21">
        <v>32.0</v>
      </c>
      <c r="H28" s="21">
        <v>43.0</v>
      </c>
      <c r="I28" s="16">
        <f t="shared" si="11"/>
        <v>75</v>
      </c>
      <c r="J28" s="21">
        <v>6.0</v>
      </c>
      <c r="K28" s="21">
        <v>15.0</v>
      </c>
      <c r="L28" s="16">
        <f t="shared" si="12"/>
        <v>21</v>
      </c>
      <c r="M28" s="21">
        <v>1.0</v>
      </c>
      <c r="N28" s="21">
        <v>3.0</v>
      </c>
      <c r="O28" s="16">
        <f t="shared" si="13"/>
        <v>4</v>
      </c>
      <c r="P28" s="21">
        <v>12.0</v>
      </c>
      <c r="Q28" s="21">
        <v>23.0</v>
      </c>
      <c r="R28" s="16">
        <f t="shared" si="14"/>
        <v>35</v>
      </c>
      <c r="S28" s="23">
        <f>19-T28</f>
        <v>7</v>
      </c>
      <c r="T28" s="21">
        <v>12.0</v>
      </c>
      <c r="U28" s="16">
        <f t="shared" si="15"/>
        <v>19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1">
        <v>0.0</v>
      </c>
      <c r="H29" s="21">
        <v>0.0</v>
      </c>
      <c r="I29" s="16">
        <f t="shared" si="11"/>
        <v>0</v>
      </c>
      <c r="J29" s="23"/>
      <c r="K29" s="23"/>
      <c r="L29" s="16">
        <f t="shared" si="12"/>
        <v>0</v>
      </c>
      <c r="M29" s="21">
        <v>0.0</v>
      </c>
      <c r="N29" s="21">
        <v>0.0</v>
      </c>
      <c r="O29" s="16">
        <f t="shared" si="13"/>
        <v>0</v>
      </c>
      <c r="P29" s="21">
        <v>0.0</v>
      </c>
      <c r="Q29" s="21">
        <v>0.0</v>
      </c>
      <c r="R29" s="16">
        <f t="shared" si="14"/>
        <v>0</v>
      </c>
      <c r="S29" s="21">
        <v>0.0</v>
      </c>
      <c r="T29" s="21">
        <v>0.0</v>
      </c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1">
        <v>94.0</v>
      </c>
      <c r="E30" s="21">
        <v>240.0</v>
      </c>
      <c r="F30" s="16">
        <f t="shared" si="10"/>
        <v>334</v>
      </c>
      <c r="G30" s="21">
        <v>43.0</v>
      </c>
      <c r="H30" s="21">
        <v>66.0</v>
      </c>
      <c r="I30" s="16">
        <f t="shared" si="11"/>
        <v>109</v>
      </c>
      <c r="J30" s="21">
        <v>11.0</v>
      </c>
      <c r="K30" s="21">
        <v>15.0</v>
      </c>
      <c r="L30" s="16">
        <f t="shared" si="12"/>
        <v>26</v>
      </c>
      <c r="M30" s="21">
        <v>18.0</v>
      </c>
      <c r="N30" s="21">
        <v>100.0</v>
      </c>
      <c r="O30" s="16">
        <f t="shared" si="13"/>
        <v>118</v>
      </c>
      <c r="P30" s="21">
        <v>15.0</v>
      </c>
      <c r="Q30" s="21">
        <v>44.0</v>
      </c>
      <c r="R30" s="16">
        <f t="shared" si="14"/>
        <v>59</v>
      </c>
      <c r="S30" s="21">
        <f>44-T30</f>
        <v>27</v>
      </c>
      <c r="T30" s="21">
        <v>17.0</v>
      </c>
      <c r="U30" s="16">
        <f t="shared" si="15"/>
        <v>44</v>
      </c>
    </row>
    <row r="31">
      <c r="A31" s="19"/>
      <c r="B31" s="20" t="s">
        <v>52</v>
      </c>
      <c r="C31" s="21" t="s">
        <v>53</v>
      </c>
      <c r="D31" s="21">
        <v>2.0</v>
      </c>
      <c r="E31" s="21">
        <v>23.0</v>
      </c>
      <c r="F31" s="16">
        <f t="shared" si="10"/>
        <v>25</v>
      </c>
      <c r="G31" s="21">
        <v>0.0</v>
      </c>
      <c r="H31" s="21">
        <v>19.0</v>
      </c>
      <c r="I31" s="16">
        <f t="shared" si="11"/>
        <v>19</v>
      </c>
      <c r="J31" s="21">
        <v>0.0</v>
      </c>
      <c r="K31" s="21">
        <v>1.0</v>
      </c>
      <c r="L31" s="16">
        <f t="shared" si="12"/>
        <v>1</v>
      </c>
      <c r="M31" s="21">
        <v>0.0</v>
      </c>
      <c r="N31" s="21">
        <v>0.0</v>
      </c>
      <c r="O31" s="16">
        <f t="shared" si="13"/>
        <v>0</v>
      </c>
      <c r="P31" s="21">
        <v>0.0</v>
      </c>
      <c r="Q31" s="21">
        <v>31.0</v>
      </c>
      <c r="R31" s="16">
        <f t="shared" si="14"/>
        <v>31</v>
      </c>
      <c r="S31" s="21">
        <v>0.0</v>
      </c>
      <c r="T31" s="21">
        <v>10.0</v>
      </c>
      <c r="U31" s="16">
        <f t="shared" si="15"/>
        <v>10</v>
      </c>
    </row>
    <row r="32">
      <c r="A32" s="19"/>
      <c r="B32" s="20" t="s">
        <v>54</v>
      </c>
      <c r="C32" s="21" t="s">
        <v>55</v>
      </c>
      <c r="D32" s="21">
        <v>1.0</v>
      </c>
      <c r="E32" s="21">
        <v>30.0</v>
      </c>
      <c r="F32" s="16">
        <f t="shared" si="10"/>
        <v>31</v>
      </c>
      <c r="G32" s="21">
        <v>2.0</v>
      </c>
      <c r="H32" s="21">
        <v>27.0</v>
      </c>
      <c r="I32" s="16">
        <f t="shared" si="11"/>
        <v>29</v>
      </c>
      <c r="J32" s="21">
        <v>2.0</v>
      </c>
      <c r="K32" s="21">
        <v>27.0</v>
      </c>
      <c r="L32" s="16">
        <f t="shared" si="12"/>
        <v>29</v>
      </c>
      <c r="M32" s="21">
        <v>1.0</v>
      </c>
      <c r="N32" s="21">
        <v>18.0</v>
      </c>
      <c r="O32" s="16">
        <f t="shared" si="13"/>
        <v>19</v>
      </c>
      <c r="P32" s="21">
        <v>4.0</v>
      </c>
      <c r="Q32" s="21">
        <v>27.0</v>
      </c>
      <c r="R32" s="16">
        <f t="shared" si="14"/>
        <v>31</v>
      </c>
      <c r="S32" s="21">
        <v>0.0</v>
      </c>
      <c r="T32" s="21">
        <v>7.0</v>
      </c>
      <c r="U32" s="16">
        <f t="shared" si="15"/>
        <v>7</v>
      </c>
    </row>
    <row r="33">
      <c r="A33" s="19"/>
      <c r="B33" s="20" t="s">
        <v>56</v>
      </c>
      <c r="C33" s="21" t="s">
        <v>57</v>
      </c>
      <c r="D33" s="21">
        <v>1.0</v>
      </c>
      <c r="E33" s="21">
        <v>30.0</v>
      </c>
      <c r="F33" s="16">
        <f t="shared" si="10"/>
        <v>31</v>
      </c>
      <c r="G33" s="21">
        <v>2.0</v>
      </c>
      <c r="H33" s="21">
        <v>28.0</v>
      </c>
      <c r="I33" s="16">
        <f t="shared" si="11"/>
        <v>30</v>
      </c>
      <c r="J33" s="21">
        <v>0.0</v>
      </c>
      <c r="K33" s="21">
        <v>27.0</v>
      </c>
      <c r="L33" s="16">
        <f t="shared" si="12"/>
        <v>27</v>
      </c>
      <c r="M33" s="21">
        <v>1.0</v>
      </c>
      <c r="N33" s="21">
        <v>16.0</v>
      </c>
      <c r="O33" s="16">
        <f t="shared" si="13"/>
        <v>17</v>
      </c>
      <c r="P33" s="21">
        <v>4.0</v>
      </c>
      <c r="Q33" s="21">
        <v>27.0</v>
      </c>
      <c r="R33" s="16">
        <f t="shared" si="14"/>
        <v>31</v>
      </c>
      <c r="S33" s="21">
        <v>0.0</v>
      </c>
      <c r="T33" s="21">
        <v>7.0</v>
      </c>
      <c r="U33" s="16">
        <f t="shared" si="15"/>
        <v>7</v>
      </c>
    </row>
    <row r="34">
      <c r="A34" s="19"/>
      <c r="B34" s="20" t="s">
        <v>58</v>
      </c>
      <c r="C34" s="21" t="s">
        <v>59</v>
      </c>
      <c r="D34" s="21">
        <v>9.0</v>
      </c>
      <c r="E34" s="21">
        <v>34.0</v>
      </c>
      <c r="F34" s="16">
        <f t="shared" si="10"/>
        <v>43</v>
      </c>
      <c r="G34" s="21">
        <v>2.0</v>
      </c>
      <c r="H34" s="21">
        <v>29.0</v>
      </c>
      <c r="I34" s="16">
        <f t="shared" si="11"/>
        <v>31</v>
      </c>
      <c r="J34" s="21">
        <v>2.0</v>
      </c>
      <c r="K34" s="21">
        <v>28.0</v>
      </c>
      <c r="L34" s="16">
        <f t="shared" si="12"/>
        <v>30</v>
      </c>
      <c r="M34" s="21">
        <v>0.0</v>
      </c>
      <c r="N34" s="21">
        <v>17.0</v>
      </c>
      <c r="O34" s="16">
        <f t="shared" si="13"/>
        <v>17</v>
      </c>
      <c r="P34" s="21">
        <v>8.0</v>
      </c>
      <c r="Q34" s="21">
        <v>29.0</v>
      </c>
      <c r="R34" s="16">
        <f t="shared" si="14"/>
        <v>37</v>
      </c>
      <c r="S34" s="21">
        <v>0.0</v>
      </c>
      <c r="T34" s="21">
        <v>9.0</v>
      </c>
      <c r="U34" s="16">
        <f t="shared" si="15"/>
        <v>9</v>
      </c>
    </row>
    <row r="35">
      <c r="A35" s="19"/>
      <c r="B35" s="20" t="s">
        <v>60</v>
      </c>
      <c r="C35" s="21" t="s">
        <v>61</v>
      </c>
      <c r="D35" s="21">
        <v>1.0</v>
      </c>
      <c r="E35" s="21">
        <v>27.0</v>
      </c>
      <c r="F35" s="16">
        <f t="shared" si="10"/>
        <v>28</v>
      </c>
      <c r="G35" s="21">
        <v>0.0</v>
      </c>
      <c r="H35" s="21">
        <v>0.0</v>
      </c>
      <c r="I35" s="16">
        <f t="shared" si="11"/>
        <v>0</v>
      </c>
      <c r="J35" s="23"/>
      <c r="K35" s="23"/>
      <c r="L35" s="16">
        <f t="shared" si="12"/>
        <v>0</v>
      </c>
      <c r="M35" s="21">
        <v>1.0</v>
      </c>
      <c r="N35" s="21">
        <v>24.0</v>
      </c>
      <c r="O35" s="16">
        <f t="shared" si="13"/>
        <v>25</v>
      </c>
      <c r="P35" s="21">
        <v>3.0</v>
      </c>
      <c r="Q35" s="21">
        <v>19.0</v>
      </c>
      <c r="R35" s="16">
        <f t="shared" si="14"/>
        <v>22</v>
      </c>
      <c r="S35" s="21">
        <v>0.0</v>
      </c>
      <c r="T35" s="21">
        <v>4.0</v>
      </c>
      <c r="U35" s="16">
        <f t="shared" si="15"/>
        <v>4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1">
        <v>0.0</v>
      </c>
      <c r="H36" s="21">
        <v>0.0</v>
      </c>
      <c r="I36" s="16">
        <f t="shared" si="11"/>
        <v>0</v>
      </c>
      <c r="J36" s="23"/>
      <c r="K36" s="23"/>
      <c r="L36" s="16">
        <f t="shared" si="12"/>
        <v>0</v>
      </c>
      <c r="M36" s="21">
        <v>0.0</v>
      </c>
      <c r="N36" s="21">
        <v>0.0</v>
      </c>
      <c r="O36" s="16">
        <f t="shared" si="13"/>
        <v>0</v>
      </c>
      <c r="P36" s="21">
        <v>0.0</v>
      </c>
      <c r="Q36" s="21">
        <v>0.0</v>
      </c>
      <c r="R36" s="16">
        <f t="shared" si="14"/>
        <v>0</v>
      </c>
      <c r="S36" s="21">
        <v>0.0</v>
      </c>
      <c r="T36" s="21">
        <v>0.0</v>
      </c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1">
        <v>4.0</v>
      </c>
      <c r="H37" s="21">
        <v>5.0</v>
      </c>
      <c r="I37" s="16">
        <f t="shared" si="11"/>
        <v>9</v>
      </c>
      <c r="J37" s="23"/>
      <c r="K37" s="23"/>
      <c r="L37" s="16">
        <f t="shared" si="12"/>
        <v>0</v>
      </c>
      <c r="M37" s="21">
        <v>2.0</v>
      </c>
      <c r="N37" s="21">
        <v>1.0</v>
      </c>
      <c r="O37" s="16">
        <f t="shared" si="13"/>
        <v>3</v>
      </c>
      <c r="P37" s="21">
        <v>0.0</v>
      </c>
      <c r="Q37" s="21">
        <v>0.0</v>
      </c>
      <c r="R37" s="16">
        <f t="shared" si="14"/>
        <v>0</v>
      </c>
      <c r="S37" s="21">
        <v>0.0</v>
      </c>
      <c r="T37" s="21">
        <v>0.0</v>
      </c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1">
        <v>14.0</v>
      </c>
      <c r="F38" s="16">
        <f t="shared" si="10"/>
        <v>14</v>
      </c>
      <c r="G38" s="21">
        <v>0.0</v>
      </c>
      <c r="H38" s="21">
        <v>10.0</v>
      </c>
      <c r="I38" s="16">
        <f t="shared" si="11"/>
        <v>10</v>
      </c>
      <c r="J38" s="21">
        <v>0.0</v>
      </c>
      <c r="K38" s="21">
        <v>15.0</v>
      </c>
      <c r="L38" s="16">
        <f t="shared" si="12"/>
        <v>15</v>
      </c>
      <c r="M38" s="21">
        <v>0.0</v>
      </c>
      <c r="N38" s="21">
        <v>17.0</v>
      </c>
      <c r="O38" s="16">
        <f t="shared" si="13"/>
        <v>17</v>
      </c>
      <c r="P38" s="21">
        <v>0.0</v>
      </c>
      <c r="Q38" s="21">
        <v>13.0</v>
      </c>
      <c r="R38" s="16">
        <f t="shared" si="14"/>
        <v>13</v>
      </c>
      <c r="S38" s="21">
        <v>0.0</v>
      </c>
      <c r="T38" s="21">
        <v>7.0</v>
      </c>
      <c r="U38" s="16">
        <f t="shared" si="15"/>
        <v>7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1">
        <v>0.0</v>
      </c>
      <c r="H39" s="21">
        <v>0.0</v>
      </c>
      <c r="I39" s="16">
        <f t="shared" si="11"/>
        <v>0</v>
      </c>
      <c r="J39" s="23"/>
      <c r="K39" s="23"/>
      <c r="L39" s="16">
        <f t="shared" si="12"/>
        <v>0</v>
      </c>
      <c r="M39" s="21">
        <v>0.0</v>
      </c>
      <c r="N39" s="21">
        <v>0.0</v>
      </c>
      <c r="O39" s="16">
        <f t="shared" si="13"/>
        <v>0</v>
      </c>
      <c r="P39" s="21">
        <v>0.0</v>
      </c>
      <c r="Q39" s="21">
        <v>0.0</v>
      </c>
      <c r="R39" s="16">
        <f t="shared" si="14"/>
        <v>0</v>
      </c>
      <c r="S39" s="21">
        <v>0.0</v>
      </c>
      <c r="T39" s="21">
        <v>0.0</v>
      </c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1">
        <v>1.0</v>
      </c>
      <c r="H40" s="21">
        <v>3.0</v>
      </c>
      <c r="I40" s="16">
        <f t="shared" si="11"/>
        <v>4</v>
      </c>
      <c r="J40" s="21">
        <v>0.0</v>
      </c>
      <c r="K40" s="21">
        <v>2.0</v>
      </c>
      <c r="L40" s="16">
        <f t="shared" si="12"/>
        <v>2</v>
      </c>
      <c r="M40" s="21">
        <v>3.0</v>
      </c>
      <c r="N40" s="21">
        <v>11.0</v>
      </c>
      <c r="O40" s="16">
        <f t="shared" si="13"/>
        <v>14</v>
      </c>
      <c r="P40" s="21">
        <v>2.0</v>
      </c>
      <c r="Q40" s="21">
        <v>1.0</v>
      </c>
      <c r="R40" s="16">
        <f t="shared" si="14"/>
        <v>3</v>
      </c>
      <c r="S40" s="21">
        <v>0.0</v>
      </c>
      <c r="T40" s="21">
        <v>0.0</v>
      </c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1">
        <v>0.0</v>
      </c>
      <c r="H41" s="21">
        <v>0.0</v>
      </c>
      <c r="I41" s="16">
        <f t="shared" si="11"/>
        <v>0</v>
      </c>
      <c r="J41" s="23"/>
      <c r="K41" s="23"/>
      <c r="L41" s="16">
        <f t="shared" si="12"/>
        <v>0</v>
      </c>
      <c r="M41" s="21">
        <v>0.0</v>
      </c>
      <c r="N41" s="21">
        <v>0.0</v>
      </c>
      <c r="O41" s="16">
        <f t="shared" si="13"/>
        <v>0</v>
      </c>
      <c r="P41" s="21">
        <v>0.0</v>
      </c>
      <c r="Q41" s="21">
        <v>0.0</v>
      </c>
      <c r="R41" s="16">
        <f t="shared" si="14"/>
        <v>0</v>
      </c>
      <c r="S41" s="21">
        <v>0.0</v>
      </c>
      <c r="T41" s="21">
        <v>0.0</v>
      </c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115</v>
      </c>
      <c r="N46" s="16">
        <f t="shared" si="16"/>
        <v>259</v>
      </c>
      <c r="O46" s="16">
        <f t="shared" si="16"/>
        <v>374</v>
      </c>
      <c r="P46" s="16">
        <f t="shared" si="16"/>
        <v>33</v>
      </c>
      <c r="Q46" s="16">
        <f t="shared" si="16"/>
        <v>94</v>
      </c>
      <c r="R46" s="16">
        <f t="shared" si="16"/>
        <v>127</v>
      </c>
      <c r="S46" s="16">
        <f t="shared" si="16"/>
        <v>87</v>
      </c>
      <c r="T46" s="16">
        <f t="shared" si="16"/>
        <v>211</v>
      </c>
      <c r="U46" s="16">
        <f t="shared" si="16"/>
        <v>298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26</v>
      </c>
      <c r="N47" s="16">
        <f t="shared" si="17"/>
        <v>65</v>
      </c>
      <c r="O47" s="16">
        <f t="shared" si="17"/>
        <v>91</v>
      </c>
      <c r="P47" s="16">
        <f t="shared" si="17"/>
        <v>6</v>
      </c>
      <c r="Q47" s="16">
        <f t="shared" si="17"/>
        <v>17</v>
      </c>
      <c r="R47" s="16">
        <f t="shared" si="17"/>
        <v>23</v>
      </c>
      <c r="S47" s="16">
        <f t="shared" si="17"/>
        <v>25</v>
      </c>
      <c r="T47" s="16">
        <f t="shared" si="17"/>
        <v>47</v>
      </c>
      <c r="U47" s="16">
        <f t="shared" si="17"/>
        <v>72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1">
        <v>21.0</v>
      </c>
      <c r="N48" s="21">
        <v>49.0</v>
      </c>
      <c r="O48" s="16">
        <f t="shared" ref="O48:O55" si="21">SUM(M48:N48)</f>
        <v>70</v>
      </c>
      <c r="P48" s="21">
        <v>6.0</v>
      </c>
      <c r="Q48" s="21">
        <v>9.0</v>
      </c>
      <c r="R48" s="16">
        <f t="shared" ref="R48:R55" si="22">SUM(P48:Q48)</f>
        <v>15</v>
      </c>
      <c r="S48" s="21">
        <v>23.0</v>
      </c>
      <c r="T48" s="21">
        <v>32.0</v>
      </c>
      <c r="U48" s="16">
        <f t="shared" ref="U48:U55" si="23">SUM(S48:T48)</f>
        <v>55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1">
        <v>0.0</v>
      </c>
      <c r="N49" s="21">
        <v>10.0</v>
      </c>
      <c r="O49" s="16">
        <f t="shared" si="21"/>
        <v>10</v>
      </c>
      <c r="P49" s="21">
        <v>0.0</v>
      </c>
      <c r="Q49" s="21">
        <v>7.0</v>
      </c>
      <c r="R49" s="16">
        <f t="shared" si="22"/>
        <v>7</v>
      </c>
      <c r="S49" s="21">
        <v>1.0</v>
      </c>
      <c r="T49" s="21">
        <v>15.0</v>
      </c>
      <c r="U49" s="16">
        <f t="shared" si="23"/>
        <v>16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1">
        <v>0.0</v>
      </c>
      <c r="N50" s="21">
        <v>1.0</v>
      </c>
      <c r="O50" s="16">
        <f t="shared" si="21"/>
        <v>1</v>
      </c>
      <c r="P50" s="21">
        <v>0.0</v>
      </c>
      <c r="Q50" s="21">
        <v>0.0</v>
      </c>
      <c r="R50" s="16">
        <f t="shared" si="22"/>
        <v>0</v>
      </c>
      <c r="S50" s="21">
        <v>1.0</v>
      </c>
      <c r="T50" s="23"/>
      <c r="U50" s="16">
        <f t="shared" si="23"/>
        <v>1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1">
        <v>3.0</v>
      </c>
      <c r="N51" s="21">
        <v>3.0</v>
      </c>
      <c r="O51" s="16">
        <f t="shared" si="21"/>
        <v>6</v>
      </c>
      <c r="P51" s="21">
        <v>0.0</v>
      </c>
      <c r="Q51" s="21">
        <v>0.0</v>
      </c>
      <c r="R51" s="16">
        <f t="shared" si="22"/>
        <v>0</v>
      </c>
      <c r="S51" s="23"/>
      <c r="T51" s="23"/>
      <c r="U51" s="16">
        <f t="shared" si="23"/>
        <v>0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1">
        <v>2.0</v>
      </c>
      <c r="N52" s="21">
        <v>2.0</v>
      </c>
      <c r="O52" s="16">
        <f t="shared" si="21"/>
        <v>4</v>
      </c>
      <c r="P52" s="21">
        <v>0.0</v>
      </c>
      <c r="Q52" s="21">
        <v>0.0</v>
      </c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1">
        <v>0.0</v>
      </c>
      <c r="N53" s="21">
        <v>0.0</v>
      </c>
      <c r="O53" s="16">
        <f t="shared" si="21"/>
        <v>0</v>
      </c>
      <c r="P53" s="21">
        <v>0.0</v>
      </c>
      <c r="Q53" s="21">
        <v>0.0</v>
      </c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1">
        <v>0.0</v>
      </c>
      <c r="N54" s="21">
        <v>0.0</v>
      </c>
      <c r="O54" s="16">
        <f t="shared" si="21"/>
        <v>0</v>
      </c>
      <c r="P54" s="21">
        <v>0.0</v>
      </c>
      <c r="Q54" s="21">
        <v>1.0</v>
      </c>
      <c r="R54" s="16">
        <f t="shared" si="22"/>
        <v>1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1">
        <v>0.0</v>
      </c>
      <c r="N55" s="21">
        <v>0.0</v>
      </c>
      <c r="O55" s="16">
        <f t="shared" si="21"/>
        <v>0</v>
      </c>
      <c r="P55" s="21">
        <v>0.0</v>
      </c>
      <c r="Q55" s="21">
        <v>0.0</v>
      </c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89</v>
      </c>
      <c r="N56" s="16">
        <f t="shared" si="24"/>
        <v>194</v>
      </c>
      <c r="O56" s="16">
        <f t="shared" si="24"/>
        <v>283</v>
      </c>
      <c r="P56" s="16">
        <f t="shared" si="24"/>
        <v>27</v>
      </c>
      <c r="Q56" s="16">
        <f t="shared" si="24"/>
        <v>77</v>
      </c>
      <c r="R56" s="16">
        <f t="shared" si="24"/>
        <v>104</v>
      </c>
      <c r="S56" s="16">
        <f t="shared" si="24"/>
        <v>62</v>
      </c>
      <c r="T56" s="16">
        <f t="shared" si="24"/>
        <v>164</v>
      </c>
      <c r="U56" s="16">
        <f t="shared" si="24"/>
        <v>226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1">
        <v>5.0</v>
      </c>
      <c r="N57" s="21">
        <v>12.0</v>
      </c>
      <c r="O57" s="16">
        <f t="shared" ref="O57:O79" si="28">SUM(M57:N57)</f>
        <v>17</v>
      </c>
      <c r="P57" s="21">
        <v>1.0</v>
      </c>
      <c r="Q57" s="21">
        <v>5.0</v>
      </c>
      <c r="R57" s="16">
        <f t="shared" ref="R57:R79" si="29">SUM(P57:Q57)</f>
        <v>6</v>
      </c>
      <c r="S57" s="21">
        <v>2.0</v>
      </c>
      <c r="T57" s="21">
        <v>9.0</v>
      </c>
      <c r="U57" s="16">
        <f t="shared" ref="U57:U79" si="30">SUM(S57:T57)</f>
        <v>11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1">
        <v>10.0</v>
      </c>
      <c r="N58" s="21">
        <v>22.0</v>
      </c>
      <c r="O58" s="16">
        <f t="shared" si="28"/>
        <v>32</v>
      </c>
      <c r="P58" s="21">
        <v>3.0</v>
      </c>
      <c r="Q58" s="21">
        <v>10.0</v>
      </c>
      <c r="R58" s="16">
        <f t="shared" si="29"/>
        <v>13</v>
      </c>
      <c r="S58" s="21">
        <v>2.0</v>
      </c>
      <c r="T58" s="21">
        <v>21.0</v>
      </c>
      <c r="U58" s="16">
        <f t="shared" si="30"/>
        <v>23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1">
        <v>0.0</v>
      </c>
      <c r="N59" s="21">
        <v>0.0</v>
      </c>
      <c r="O59" s="16">
        <f t="shared" si="28"/>
        <v>0</v>
      </c>
      <c r="P59" s="21">
        <v>0.0</v>
      </c>
      <c r="Q59" s="21">
        <v>0.0</v>
      </c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1">
        <v>0.0</v>
      </c>
      <c r="N60" s="21">
        <v>0.0</v>
      </c>
      <c r="O60" s="16">
        <f t="shared" si="28"/>
        <v>0</v>
      </c>
      <c r="P60" s="21">
        <v>0.0</v>
      </c>
      <c r="Q60" s="21">
        <v>0.0</v>
      </c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1">
        <v>0.0</v>
      </c>
      <c r="N61" s="21">
        <v>0.0</v>
      </c>
      <c r="O61" s="16">
        <f t="shared" si="28"/>
        <v>0</v>
      </c>
      <c r="P61" s="21">
        <v>2.0</v>
      </c>
      <c r="Q61" s="21">
        <v>4.0</v>
      </c>
      <c r="R61" s="16">
        <f t="shared" si="29"/>
        <v>6</v>
      </c>
      <c r="S61" s="21">
        <v>3.0</v>
      </c>
      <c r="T61" s="21">
        <v>18.0</v>
      </c>
      <c r="U61" s="16">
        <f t="shared" si="30"/>
        <v>21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1">
        <v>0.0</v>
      </c>
      <c r="N62" s="21">
        <v>0.0</v>
      </c>
      <c r="O62" s="16">
        <f t="shared" si="28"/>
        <v>0</v>
      </c>
      <c r="P62" s="21">
        <v>0.0</v>
      </c>
      <c r="Q62" s="21">
        <v>0.0</v>
      </c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1">
        <v>0.0</v>
      </c>
      <c r="N63" s="21">
        <v>0.0</v>
      </c>
      <c r="O63" s="16">
        <f t="shared" si="28"/>
        <v>0</v>
      </c>
      <c r="P63" s="21">
        <v>0.0</v>
      </c>
      <c r="Q63" s="21">
        <v>1.0</v>
      </c>
      <c r="R63" s="16">
        <f t="shared" si="29"/>
        <v>1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1">
        <v>22.0</v>
      </c>
      <c r="N64" s="21">
        <v>30.0</v>
      </c>
      <c r="O64" s="16">
        <f t="shared" si="28"/>
        <v>52</v>
      </c>
      <c r="P64" s="21">
        <v>5.0</v>
      </c>
      <c r="Q64" s="21">
        <v>4.0</v>
      </c>
      <c r="R64" s="16">
        <f t="shared" si="29"/>
        <v>9</v>
      </c>
      <c r="S64" s="21">
        <v>15.0</v>
      </c>
      <c r="T64" s="21">
        <v>25.0</v>
      </c>
      <c r="U64" s="16">
        <f t="shared" si="30"/>
        <v>40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1">
        <v>20.0</v>
      </c>
      <c r="N65" s="21">
        <v>25.0</v>
      </c>
      <c r="O65" s="16">
        <f t="shared" si="28"/>
        <v>45</v>
      </c>
      <c r="P65" s="21">
        <v>3.0</v>
      </c>
      <c r="Q65" s="21">
        <v>10.0</v>
      </c>
      <c r="R65" s="16">
        <f t="shared" si="29"/>
        <v>13</v>
      </c>
      <c r="S65" s="21">
        <v>19.0</v>
      </c>
      <c r="T65" s="21">
        <v>33.0</v>
      </c>
      <c r="U65" s="16">
        <f t="shared" si="30"/>
        <v>52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1">
        <v>7.0</v>
      </c>
      <c r="N66" s="21">
        <v>12.0</v>
      </c>
      <c r="O66" s="16">
        <f t="shared" si="28"/>
        <v>19</v>
      </c>
      <c r="P66" s="21">
        <v>1.0</v>
      </c>
      <c r="Q66" s="21">
        <v>2.0</v>
      </c>
      <c r="R66" s="16">
        <f t="shared" si="29"/>
        <v>3</v>
      </c>
      <c r="S66" s="21">
        <v>3.0</v>
      </c>
      <c r="T66" s="21">
        <v>3.0</v>
      </c>
      <c r="U66" s="16">
        <f t="shared" si="30"/>
        <v>6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1">
        <v>0.0</v>
      </c>
      <c r="N67" s="21">
        <v>0.0</v>
      </c>
      <c r="O67" s="16">
        <f t="shared" si="28"/>
        <v>0</v>
      </c>
      <c r="P67" s="21">
        <v>5.0</v>
      </c>
      <c r="Q67" s="21">
        <v>4.0</v>
      </c>
      <c r="R67" s="16">
        <f t="shared" si="29"/>
        <v>9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1">
        <v>20.0</v>
      </c>
      <c r="N68" s="21">
        <v>24.0</v>
      </c>
      <c r="O68" s="16">
        <f t="shared" si="28"/>
        <v>44</v>
      </c>
      <c r="P68" s="21">
        <v>4.0</v>
      </c>
      <c r="Q68" s="21">
        <v>4.0</v>
      </c>
      <c r="R68" s="16">
        <f t="shared" si="29"/>
        <v>8</v>
      </c>
      <c r="S68" s="21">
        <v>16.0</v>
      </c>
      <c r="T68" s="21">
        <v>27.0</v>
      </c>
      <c r="U68" s="16">
        <f t="shared" si="30"/>
        <v>43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1">
        <v>0.0</v>
      </c>
      <c r="N69" s="21">
        <v>7.0</v>
      </c>
      <c r="O69" s="16">
        <f t="shared" si="28"/>
        <v>7</v>
      </c>
      <c r="P69" s="21">
        <v>0.0</v>
      </c>
      <c r="Q69" s="21">
        <v>1.0</v>
      </c>
      <c r="R69" s="16">
        <f t="shared" si="29"/>
        <v>1</v>
      </c>
      <c r="S69" s="23"/>
      <c r="T69" s="21">
        <v>7.0</v>
      </c>
      <c r="U69" s="16">
        <f t="shared" si="30"/>
        <v>7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1">
        <v>1.0</v>
      </c>
      <c r="N70" s="21">
        <v>12.0</v>
      </c>
      <c r="O70" s="16">
        <f t="shared" si="28"/>
        <v>13</v>
      </c>
      <c r="P70" s="21">
        <v>1.0</v>
      </c>
      <c r="Q70" s="21">
        <v>8.0</v>
      </c>
      <c r="R70" s="16">
        <f t="shared" si="29"/>
        <v>9</v>
      </c>
      <c r="S70" s="23"/>
      <c r="T70" s="21">
        <v>5.0</v>
      </c>
      <c r="U70" s="16">
        <f t="shared" si="30"/>
        <v>5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1">
        <v>1.0</v>
      </c>
      <c r="N71" s="21">
        <v>12.0</v>
      </c>
      <c r="O71" s="16">
        <f t="shared" si="28"/>
        <v>13</v>
      </c>
      <c r="P71" s="21">
        <v>1.0</v>
      </c>
      <c r="Q71" s="21">
        <v>8.0</v>
      </c>
      <c r="R71" s="16">
        <f t="shared" si="29"/>
        <v>9</v>
      </c>
      <c r="S71" s="23"/>
      <c r="T71" s="21">
        <v>5.0</v>
      </c>
      <c r="U71" s="16">
        <f t="shared" si="30"/>
        <v>5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1">
        <v>1.0</v>
      </c>
      <c r="N72" s="21">
        <v>12.0</v>
      </c>
      <c r="O72" s="16">
        <f t="shared" si="28"/>
        <v>13</v>
      </c>
      <c r="P72" s="21">
        <v>1.0</v>
      </c>
      <c r="Q72" s="21">
        <v>7.0</v>
      </c>
      <c r="R72" s="16">
        <f t="shared" si="29"/>
        <v>8</v>
      </c>
      <c r="S72" s="23"/>
      <c r="T72" s="21">
        <v>5.0</v>
      </c>
      <c r="U72" s="16">
        <f t="shared" si="30"/>
        <v>5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1">
        <v>0.0</v>
      </c>
      <c r="N73" s="21">
        <v>11.0</v>
      </c>
      <c r="O73" s="16">
        <f t="shared" si="28"/>
        <v>11</v>
      </c>
      <c r="P73" s="21">
        <v>0.0</v>
      </c>
      <c r="Q73" s="21">
        <v>8.0</v>
      </c>
      <c r="R73" s="16">
        <f t="shared" si="29"/>
        <v>8</v>
      </c>
      <c r="S73" s="21">
        <v>2.0</v>
      </c>
      <c r="T73" s="21">
        <v>5.0</v>
      </c>
      <c r="U73" s="16">
        <f t="shared" si="30"/>
        <v>7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1">
        <v>0.0</v>
      </c>
      <c r="N74" s="21">
        <v>0.0</v>
      </c>
      <c r="O74" s="16">
        <f t="shared" si="28"/>
        <v>0</v>
      </c>
      <c r="P74" s="21">
        <v>0.0</v>
      </c>
      <c r="Q74" s="21">
        <v>0.0</v>
      </c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1">
        <v>0.0</v>
      </c>
      <c r="N75" s="21">
        <v>0.0</v>
      </c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1">
        <v>0.0</v>
      </c>
      <c r="N76" s="21">
        <v>10.0</v>
      </c>
      <c r="O76" s="16">
        <f t="shared" si="28"/>
        <v>10</v>
      </c>
      <c r="P76" s="21">
        <v>0.0</v>
      </c>
      <c r="Q76" s="21">
        <v>1.0</v>
      </c>
      <c r="R76" s="16">
        <f t="shared" si="29"/>
        <v>1</v>
      </c>
      <c r="S76" s="23"/>
      <c r="T76" s="21">
        <v>1.0</v>
      </c>
      <c r="U76" s="16">
        <f t="shared" si="30"/>
        <v>1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1">
        <v>0.0</v>
      </c>
      <c r="N77" s="21">
        <v>0.0</v>
      </c>
      <c r="O77" s="16">
        <f t="shared" si="28"/>
        <v>0</v>
      </c>
      <c r="P77" s="21">
        <v>0.0</v>
      </c>
      <c r="Q77" s="21">
        <v>0.0</v>
      </c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1">
        <v>2.0</v>
      </c>
      <c r="N78" s="21">
        <v>5.0</v>
      </c>
      <c r="O78" s="16">
        <f t="shared" si="28"/>
        <v>7</v>
      </c>
      <c r="P78" s="21">
        <v>0.0</v>
      </c>
      <c r="Q78" s="21">
        <v>0.0</v>
      </c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1">
        <v>0.0</v>
      </c>
      <c r="N79" s="21">
        <v>0.0</v>
      </c>
      <c r="O79" s="16">
        <f t="shared" si="28"/>
        <v>0</v>
      </c>
      <c r="P79" s="21">
        <v>0.0</v>
      </c>
      <c r="Q79" s="21">
        <v>0.0</v>
      </c>
      <c r="R79" s="16">
        <f t="shared" si="29"/>
        <v>0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81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0</v>
      </c>
      <c r="E8" s="16">
        <f t="shared" si="1"/>
        <v>0</v>
      </c>
      <c r="F8" s="16">
        <f t="shared" si="1"/>
        <v>0</v>
      </c>
      <c r="G8" s="16">
        <f t="shared" si="1"/>
        <v>188</v>
      </c>
      <c r="H8" s="16">
        <f t="shared" si="1"/>
        <v>468</v>
      </c>
      <c r="I8" s="16">
        <f t="shared" si="1"/>
        <v>656</v>
      </c>
      <c r="J8" s="16">
        <f t="shared" si="1"/>
        <v>268</v>
      </c>
      <c r="K8" s="16">
        <f t="shared" si="1"/>
        <v>650</v>
      </c>
      <c r="L8" s="16">
        <f t="shared" si="1"/>
        <v>918</v>
      </c>
      <c r="M8" s="16">
        <f t="shared" si="1"/>
        <v>191</v>
      </c>
      <c r="N8" s="16">
        <f t="shared" si="1"/>
        <v>551</v>
      </c>
      <c r="O8" s="16">
        <f t="shared" si="1"/>
        <v>742</v>
      </c>
      <c r="P8" s="16">
        <f t="shared" si="1"/>
        <v>140</v>
      </c>
      <c r="Q8" s="16">
        <f t="shared" si="1"/>
        <v>396</v>
      </c>
      <c r="R8" s="16">
        <f t="shared" si="1"/>
        <v>536</v>
      </c>
      <c r="S8" s="16">
        <f t="shared" si="1"/>
        <v>157</v>
      </c>
      <c r="T8" s="16">
        <f t="shared" si="1"/>
        <v>342</v>
      </c>
      <c r="U8" s="16">
        <f t="shared" si="1"/>
        <v>499</v>
      </c>
    </row>
    <row r="9">
      <c r="A9" s="17">
        <v>2.0</v>
      </c>
      <c r="B9" s="18" t="s">
        <v>15</v>
      </c>
      <c r="C9" s="9"/>
      <c r="D9" s="16">
        <f t="shared" ref="D9:U9" si="2">SUM(D10:D17)</f>
        <v>0</v>
      </c>
      <c r="E9" s="16">
        <f t="shared" si="2"/>
        <v>0</v>
      </c>
      <c r="F9" s="16">
        <f t="shared" si="2"/>
        <v>0</v>
      </c>
      <c r="G9" s="16">
        <f t="shared" si="2"/>
        <v>57</v>
      </c>
      <c r="H9" s="16">
        <f t="shared" si="2"/>
        <v>116</v>
      </c>
      <c r="I9" s="16">
        <f t="shared" si="2"/>
        <v>173</v>
      </c>
      <c r="J9" s="16">
        <f t="shared" si="2"/>
        <v>134</v>
      </c>
      <c r="K9" s="16">
        <f t="shared" si="2"/>
        <v>325</v>
      </c>
      <c r="L9" s="16">
        <f t="shared" si="2"/>
        <v>459</v>
      </c>
      <c r="M9" s="16">
        <f t="shared" si="2"/>
        <v>71</v>
      </c>
      <c r="N9" s="16">
        <f t="shared" si="2"/>
        <v>191</v>
      </c>
      <c r="O9" s="16">
        <f t="shared" si="2"/>
        <v>262</v>
      </c>
      <c r="P9" s="16">
        <f t="shared" si="2"/>
        <v>42</v>
      </c>
      <c r="Q9" s="16">
        <f t="shared" si="2"/>
        <v>95</v>
      </c>
      <c r="R9" s="16">
        <f t="shared" si="2"/>
        <v>137</v>
      </c>
      <c r="S9" s="16">
        <f t="shared" si="2"/>
        <v>76</v>
      </c>
      <c r="T9" s="16">
        <f t="shared" si="2"/>
        <v>160</v>
      </c>
      <c r="U9" s="16">
        <f t="shared" si="2"/>
        <v>236</v>
      </c>
    </row>
    <row r="10">
      <c r="A10" s="19"/>
      <c r="B10" s="20" t="s">
        <v>16</v>
      </c>
      <c r="C10" s="21" t="s">
        <v>17</v>
      </c>
      <c r="D10" s="23"/>
      <c r="E10" s="23"/>
      <c r="F10" s="16">
        <f t="shared" ref="F10:F17" si="3">SUM(D10:E10)</f>
        <v>0</v>
      </c>
      <c r="G10" s="21">
        <v>49.0</v>
      </c>
      <c r="H10" s="21">
        <v>74.0</v>
      </c>
      <c r="I10" s="16">
        <f t="shared" ref="I10:I17" si="4">SUM(G10:H10)</f>
        <v>123</v>
      </c>
      <c r="J10" s="21">
        <v>133.0</v>
      </c>
      <c r="K10" s="21">
        <v>215.0</v>
      </c>
      <c r="L10" s="16">
        <f t="shared" ref="L10:L17" si="5">SUM(J10:K10)</f>
        <v>348</v>
      </c>
      <c r="M10" s="21">
        <v>51.0</v>
      </c>
      <c r="N10" s="21">
        <v>79.0</v>
      </c>
      <c r="O10" s="16">
        <f t="shared" ref="O10:O17" si="6">SUM(M10:N10)</f>
        <v>130</v>
      </c>
      <c r="P10" s="21">
        <v>37.0</v>
      </c>
      <c r="Q10" s="21">
        <v>60.0</v>
      </c>
      <c r="R10" s="16">
        <f t="shared" ref="R10:R17" si="7">SUM(P10:Q10)</f>
        <v>97</v>
      </c>
      <c r="S10" s="21">
        <v>76.0</v>
      </c>
      <c r="T10" s="21">
        <f>197-S10</f>
        <v>121</v>
      </c>
      <c r="U10" s="16">
        <f t="shared" ref="U10:U17" si="8">SUM(S10:T10)</f>
        <v>197</v>
      </c>
    </row>
    <row r="11">
      <c r="A11" s="19"/>
      <c r="B11" s="20" t="s">
        <v>19</v>
      </c>
      <c r="C11" s="21" t="s">
        <v>20</v>
      </c>
      <c r="D11" s="23"/>
      <c r="E11" s="23"/>
      <c r="F11" s="16">
        <f t="shared" si="3"/>
        <v>0</v>
      </c>
      <c r="G11" s="21">
        <v>0.0</v>
      </c>
      <c r="H11" s="21">
        <v>30.0</v>
      </c>
      <c r="I11" s="16">
        <f t="shared" si="4"/>
        <v>30</v>
      </c>
      <c r="J11" s="21">
        <v>0.0</v>
      </c>
      <c r="K11" s="21">
        <v>109.0</v>
      </c>
      <c r="L11" s="16">
        <f t="shared" si="5"/>
        <v>109</v>
      </c>
      <c r="M11" s="21">
        <v>0.0</v>
      </c>
      <c r="N11" s="21">
        <v>32.0</v>
      </c>
      <c r="O11" s="16">
        <f t="shared" si="6"/>
        <v>32</v>
      </c>
      <c r="P11" s="21">
        <v>0.0</v>
      </c>
      <c r="Q11" s="21">
        <v>31.0</v>
      </c>
      <c r="R11" s="16">
        <f t="shared" si="7"/>
        <v>31</v>
      </c>
      <c r="S11" s="21">
        <v>0.0</v>
      </c>
      <c r="T11" s="21">
        <v>39.0</v>
      </c>
      <c r="U11" s="16">
        <f t="shared" si="8"/>
        <v>39</v>
      </c>
    </row>
    <row r="12">
      <c r="A12" s="19"/>
      <c r="B12" s="20" t="s">
        <v>22</v>
      </c>
      <c r="C12" s="21" t="s">
        <v>23</v>
      </c>
      <c r="D12" s="23"/>
      <c r="E12" s="23"/>
      <c r="F12" s="16">
        <f t="shared" si="3"/>
        <v>0</v>
      </c>
      <c r="G12" s="21">
        <v>0.0</v>
      </c>
      <c r="H12" s="21">
        <v>0.0</v>
      </c>
      <c r="I12" s="16">
        <f t="shared" si="4"/>
        <v>0</v>
      </c>
      <c r="J12" s="23"/>
      <c r="K12" s="23"/>
      <c r="L12" s="16">
        <f t="shared" si="5"/>
        <v>0</v>
      </c>
      <c r="M12" s="21">
        <v>0.0</v>
      </c>
      <c r="N12" s="21">
        <v>0.0</v>
      </c>
      <c r="O12" s="16">
        <f t="shared" si="6"/>
        <v>0</v>
      </c>
      <c r="P12" s="21">
        <v>0.0</v>
      </c>
      <c r="Q12" s="21">
        <v>1.0</v>
      </c>
      <c r="R12" s="16">
        <f t="shared" si="7"/>
        <v>1</v>
      </c>
      <c r="S12" s="21">
        <v>0.0</v>
      </c>
      <c r="T12" s="21">
        <v>0.0</v>
      </c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3"/>
      <c r="E13" s="23"/>
      <c r="F13" s="16">
        <f t="shared" si="3"/>
        <v>0</v>
      </c>
      <c r="G13" s="21">
        <v>0.0</v>
      </c>
      <c r="H13" s="21">
        <v>3.0</v>
      </c>
      <c r="I13" s="16">
        <f t="shared" si="4"/>
        <v>3</v>
      </c>
      <c r="J13" s="23"/>
      <c r="K13" s="23"/>
      <c r="L13" s="16">
        <f t="shared" si="5"/>
        <v>0</v>
      </c>
      <c r="M13" s="21">
        <v>3.0</v>
      </c>
      <c r="N13" s="21">
        <v>14.0</v>
      </c>
      <c r="O13" s="16">
        <f t="shared" si="6"/>
        <v>17</v>
      </c>
      <c r="P13" s="21">
        <v>5.0</v>
      </c>
      <c r="Q13" s="21">
        <v>0.0</v>
      </c>
      <c r="R13" s="16">
        <f t="shared" si="7"/>
        <v>5</v>
      </c>
      <c r="S13" s="21">
        <v>0.0</v>
      </c>
      <c r="T13" s="21">
        <v>0.0</v>
      </c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3"/>
      <c r="E14" s="23"/>
      <c r="F14" s="16">
        <f t="shared" si="3"/>
        <v>0</v>
      </c>
      <c r="G14" s="21">
        <v>3.0</v>
      </c>
      <c r="H14" s="21">
        <v>3.0</v>
      </c>
      <c r="I14" s="16">
        <f t="shared" si="4"/>
        <v>6</v>
      </c>
      <c r="J14" s="23"/>
      <c r="K14" s="23"/>
      <c r="L14" s="16">
        <f t="shared" si="5"/>
        <v>0</v>
      </c>
      <c r="M14" s="21">
        <v>0.0</v>
      </c>
      <c r="N14" s="21">
        <v>0.0</v>
      </c>
      <c r="O14" s="16">
        <f t="shared" si="6"/>
        <v>0</v>
      </c>
      <c r="P14" s="21">
        <v>0.0</v>
      </c>
      <c r="Q14" s="21">
        <v>0.0</v>
      </c>
      <c r="R14" s="16">
        <f t="shared" si="7"/>
        <v>0</v>
      </c>
      <c r="S14" s="21">
        <v>0.0</v>
      </c>
      <c r="T14" s="21">
        <v>0.0</v>
      </c>
      <c r="U14" s="16">
        <f t="shared" si="8"/>
        <v>0</v>
      </c>
    </row>
    <row r="15">
      <c r="A15" s="19"/>
      <c r="B15" s="20" t="s">
        <v>29</v>
      </c>
      <c r="C15" s="21" t="s">
        <v>30</v>
      </c>
      <c r="D15" s="23"/>
      <c r="E15" s="23"/>
      <c r="F15" s="16">
        <f t="shared" si="3"/>
        <v>0</v>
      </c>
      <c r="G15" s="21">
        <v>5.0</v>
      </c>
      <c r="H15" s="21">
        <v>3.0</v>
      </c>
      <c r="I15" s="16">
        <f t="shared" si="4"/>
        <v>8</v>
      </c>
      <c r="J15" s="21">
        <v>1.0</v>
      </c>
      <c r="K15" s="21">
        <v>1.0</v>
      </c>
      <c r="L15" s="16">
        <f t="shared" si="5"/>
        <v>2</v>
      </c>
      <c r="M15" s="21">
        <v>0.0</v>
      </c>
      <c r="N15" s="23"/>
      <c r="O15" s="16">
        <f t="shared" si="6"/>
        <v>0</v>
      </c>
      <c r="P15" s="21">
        <v>0.0</v>
      </c>
      <c r="Q15" s="21">
        <v>0.0</v>
      </c>
      <c r="R15" s="16">
        <f t="shared" si="7"/>
        <v>0</v>
      </c>
      <c r="S15" s="21">
        <v>0.0</v>
      </c>
      <c r="T15" s="21">
        <v>0.0</v>
      </c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3"/>
      <c r="E16" s="23"/>
      <c r="F16" s="16">
        <f t="shared" si="3"/>
        <v>0</v>
      </c>
      <c r="G16" s="21">
        <v>0.0</v>
      </c>
      <c r="H16" s="21">
        <v>3.0</v>
      </c>
      <c r="I16" s="16">
        <f t="shared" si="4"/>
        <v>3</v>
      </c>
      <c r="J16" s="23"/>
      <c r="K16" s="23"/>
      <c r="L16" s="16">
        <f t="shared" si="5"/>
        <v>0</v>
      </c>
      <c r="M16" s="21">
        <v>5.0</v>
      </c>
      <c r="N16" s="21">
        <v>21.0</v>
      </c>
      <c r="O16" s="16">
        <f t="shared" si="6"/>
        <v>26</v>
      </c>
      <c r="P16" s="21">
        <v>0.0</v>
      </c>
      <c r="Q16" s="21">
        <v>3.0</v>
      </c>
      <c r="R16" s="16">
        <f t="shared" si="7"/>
        <v>3</v>
      </c>
      <c r="S16" s="21">
        <v>0.0</v>
      </c>
      <c r="T16" s="21">
        <v>0.0</v>
      </c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3"/>
      <c r="E17" s="23"/>
      <c r="F17" s="16">
        <f t="shared" si="3"/>
        <v>0</v>
      </c>
      <c r="G17" s="21">
        <v>0.0</v>
      </c>
      <c r="H17" s="21">
        <v>0.0</v>
      </c>
      <c r="I17" s="16">
        <f t="shared" si="4"/>
        <v>0</v>
      </c>
      <c r="J17" s="23"/>
      <c r="K17" s="23"/>
      <c r="L17" s="16">
        <f t="shared" si="5"/>
        <v>0</v>
      </c>
      <c r="M17" s="21">
        <v>12.0</v>
      </c>
      <c r="N17" s="21">
        <v>45.0</v>
      </c>
      <c r="O17" s="16">
        <f t="shared" si="6"/>
        <v>57</v>
      </c>
      <c r="P17" s="21">
        <v>0.0</v>
      </c>
      <c r="Q17" s="21">
        <v>0.0</v>
      </c>
      <c r="R17" s="16">
        <f t="shared" si="7"/>
        <v>0</v>
      </c>
      <c r="S17" s="21">
        <v>0.0</v>
      </c>
      <c r="T17" s="21">
        <v>0.0</v>
      </c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0</v>
      </c>
      <c r="E18" s="16">
        <f t="shared" si="9"/>
        <v>0</v>
      </c>
      <c r="F18" s="16">
        <f t="shared" si="9"/>
        <v>0</v>
      </c>
      <c r="G18" s="16">
        <f t="shared" si="9"/>
        <v>131</v>
      </c>
      <c r="H18" s="16">
        <f t="shared" si="9"/>
        <v>352</v>
      </c>
      <c r="I18" s="16">
        <f t="shared" si="9"/>
        <v>483</v>
      </c>
      <c r="J18" s="16">
        <f t="shared" si="9"/>
        <v>134</v>
      </c>
      <c r="K18" s="16">
        <f t="shared" si="9"/>
        <v>325</v>
      </c>
      <c r="L18" s="16">
        <f t="shared" si="9"/>
        <v>459</v>
      </c>
      <c r="M18" s="16">
        <f t="shared" si="9"/>
        <v>120</v>
      </c>
      <c r="N18" s="16">
        <f t="shared" si="9"/>
        <v>360</v>
      </c>
      <c r="O18" s="16">
        <f t="shared" si="9"/>
        <v>480</v>
      </c>
      <c r="P18" s="16">
        <f t="shared" si="9"/>
        <v>98</v>
      </c>
      <c r="Q18" s="16">
        <f t="shared" si="9"/>
        <v>301</v>
      </c>
      <c r="R18" s="16">
        <f t="shared" si="9"/>
        <v>399</v>
      </c>
      <c r="S18" s="16">
        <f t="shared" si="9"/>
        <v>81</v>
      </c>
      <c r="T18" s="16">
        <f t="shared" si="9"/>
        <v>182</v>
      </c>
      <c r="U18" s="16">
        <f t="shared" si="9"/>
        <v>263</v>
      </c>
    </row>
    <row r="19">
      <c r="A19" s="19"/>
      <c r="B19" s="20" t="s">
        <v>16</v>
      </c>
      <c r="C19" s="21" t="s">
        <v>36</v>
      </c>
      <c r="D19" s="23"/>
      <c r="E19" s="23"/>
      <c r="F19" s="16">
        <f t="shared" ref="F19:F41" si="10">SUM(D19:E19)</f>
        <v>0</v>
      </c>
      <c r="G19" s="21">
        <v>6.0</v>
      </c>
      <c r="H19" s="21">
        <v>25.0</v>
      </c>
      <c r="I19" s="16">
        <f t="shared" ref="I19:I41" si="11">SUM(G19:H19)</f>
        <v>31</v>
      </c>
      <c r="J19" s="21">
        <v>1.0</v>
      </c>
      <c r="K19" s="21">
        <v>9.0</v>
      </c>
      <c r="L19" s="16">
        <f t="shared" ref="L19:L41" si="12">SUM(J19:K19)</f>
        <v>10</v>
      </c>
      <c r="M19" s="21">
        <v>2.0</v>
      </c>
      <c r="N19" s="21">
        <v>7.0</v>
      </c>
      <c r="O19" s="16">
        <f t="shared" ref="O19:O41" si="13">SUM(M19:N19)</f>
        <v>9</v>
      </c>
      <c r="P19" s="21">
        <v>0.0</v>
      </c>
      <c r="Q19" s="21">
        <v>16.0</v>
      </c>
      <c r="R19" s="16">
        <f t="shared" ref="R19:R41" si="14">SUM(P19:Q19)</f>
        <v>16</v>
      </c>
      <c r="S19" s="21">
        <v>0.0</v>
      </c>
      <c r="T19" s="21">
        <v>5.0</v>
      </c>
      <c r="U19" s="16">
        <f t="shared" ref="U19:U41" si="15">SUM(S19:T19)</f>
        <v>5</v>
      </c>
    </row>
    <row r="20">
      <c r="A20" s="19"/>
      <c r="B20" s="20" t="s">
        <v>19</v>
      </c>
      <c r="C20" s="21" t="s">
        <v>37</v>
      </c>
      <c r="D20" s="23"/>
      <c r="E20" s="23"/>
      <c r="F20" s="16">
        <f t="shared" si="10"/>
        <v>0</v>
      </c>
      <c r="G20" s="21">
        <v>0.0</v>
      </c>
      <c r="H20" s="21">
        <v>36.0</v>
      </c>
      <c r="I20" s="16">
        <f t="shared" si="11"/>
        <v>36</v>
      </c>
      <c r="J20" s="21">
        <v>2.0</v>
      </c>
      <c r="K20" s="21">
        <v>17.0</v>
      </c>
      <c r="L20" s="16">
        <f t="shared" si="12"/>
        <v>19</v>
      </c>
      <c r="M20" s="21">
        <v>7.0</v>
      </c>
      <c r="N20" s="21">
        <v>60.0</v>
      </c>
      <c r="O20" s="16">
        <f t="shared" si="13"/>
        <v>67</v>
      </c>
      <c r="P20" s="21">
        <v>7.0</v>
      </c>
      <c r="Q20" s="21">
        <v>36.0</v>
      </c>
      <c r="R20" s="16">
        <f t="shared" si="14"/>
        <v>43</v>
      </c>
      <c r="S20" s="21">
        <v>0.0</v>
      </c>
      <c r="T20" s="21">
        <v>12.0</v>
      </c>
      <c r="U20" s="16">
        <f t="shared" si="15"/>
        <v>12</v>
      </c>
    </row>
    <row r="21">
      <c r="A21" s="19"/>
      <c r="B21" s="20" t="s">
        <v>22</v>
      </c>
      <c r="C21" s="21" t="s">
        <v>38</v>
      </c>
      <c r="D21" s="23"/>
      <c r="E21" s="23"/>
      <c r="F21" s="16">
        <f t="shared" si="10"/>
        <v>0</v>
      </c>
      <c r="G21" s="21">
        <v>0.0</v>
      </c>
      <c r="H21" s="21">
        <v>0.0</v>
      </c>
      <c r="I21" s="16">
        <f t="shared" si="11"/>
        <v>0</v>
      </c>
      <c r="J21" s="23"/>
      <c r="K21" s="23"/>
      <c r="L21" s="16">
        <f t="shared" si="12"/>
        <v>0</v>
      </c>
      <c r="M21" s="21">
        <v>0.0</v>
      </c>
      <c r="N21" s="21">
        <v>0.0</v>
      </c>
      <c r="O21" s="16">
        <f t="shared" si="13"/>
        <v>0</v>
      </c>
      <c r="P21" s="21">
        <v>0.0</v>
      </c>
      <c r="Q21" s="21">
        <v>0.0</v>
      </c>
      <c r="R21" s="16">
        <f t="shared" si="14"/>
        <v>0</v>
      </c>
      <c r="S21" s="21">
        <v>0.0</v>
      </c>
      <c r="T21" s="21">
        <v>0.0</v>
      </c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3"/>
      <c r="E22" s="23"/>
      <c r="F22" s="16">
        <f t="shared" si="10"/>
        <v>0</v>
      </c>
      <c r="G22" s="21">
        <v>0.0</v>
      </c>
      <c r="H22" s="21">
        <v>0.0</v>
      </c>
      <c r="I22" s="16">
        <f t="shared" si="11"/>
        <v>0</v>
      </c>
      <c r="J22" s="23"/>
      <c r="K22" s="23"/>
      <c r="L22" s="16">
        <f t="shared" si="12"/>
        <v>0</v>
      </c>
      <c r="M22" s="21">
        <v>0.0</v>
      </c>
      <c r="N22" s="21">
        <v>0.0</v>
      </c>
      <c r="O22" s="16">
        <f t="shared" si="13"/>
        <v>0</v>
      </c>
      <c r="P22" s="21">
        <v>0.0</v>
      </c>
      <c r="Q22" s="21">
        <v>0.0</v>
      </c>
      <c r="R22" s="16">
        <f t="shared" si="14"/>
        <v>0</v>
      </c>
      <c r="S22" s="21">
        <v>0.0</v>
      </c>
      <c r="T22" s="21">
        <v>0.0</v>
      </c>
      <c r="U22" s="16">
        <f t="shared" si="15"/>
        <v>0</v>
      </c>
    </row>
    <row r="23">
      <c r="A23" s="19"/>
      <c r="B23" s="20" t="s">
        <v>27</v>
      </c>
      <c r="C23" s="21" t="s">
        <v>80</v>
      </c>
      <c r="D23" s="23"/>
      <c r="E23" s="23"/>
      <c r="F23" s="16">
        <f t="shared" si="10"/>
        <v>0</v>
      </c>
      <c r="G23" s="21">
        <v>0.0</v>
      </c>
      <c r="H23" s="21">
        <v>0.0</v>
      </c>
      <c r="I23" s="16">
        <f t="shared" si="11"/>
        <v>0</v>
      </c>
      <c r="J23" s="21">
        <v>2.0</v>
      </c>
      <c r="K23" s="21">
        <v>17.0</v>
      </c>
      <c r="L23" s="16">
        <f t="shared" si="12"/>
        <v>19</v>
      </c>
      <c r="M23" s="21">
        <v>0.0</v>
      </c>
      <c r="N23" s="21">
        <v>0.0</v>
      </c>
      <c r="O23" s="16">
        <f t="shared" si="13"/>
        <v>0</v>
      </c>
      <c r="P23" s="21">
        <v>0.0</v>
      </c>
      <c r="Q23" s="21">
        <v>0.0</v>
      </c>
      <c r="R23" s="16">
        <f t="shared" si="14"/>
        <v>0</v>
      </c>
      <c r="S23" s="21">
        <v>0.0</v>
      </c>
      <c r="T23" s="21">
        <v>0.0</v>
      </c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1">
        <v>0.0</v>
      </c>
      <c r="H24" s="21">
        <v>0.0</v>
      </c>
      <c r="I24" s="16">
        <f t="shared" si="11"/>
        <v>0</v>
      </c>
      <c r="J24" s="23"/>
      <c r="K24" s="23"/>
      <c r="L24" s="16">
        <f t="shared" si="12"/>
        <v>0</v>
      </c>
      <c r="M24" s="21">
        <v>3.0</v>
      </c>
      <c r="N24" s="21">
        <v>0.0</v>
      </c>
      <c r="O24" s="16">
        <f t="shared" si="13"/>
        <v>3</v>
      </c>
      <c r="P24" s="21">
        <v>0.0</v>
      </c>
      <c r="Q24" s="21">
        <v>0.0</v>
      </c>
      <c r="R24" s="16">
        <f t="shared" si="14"/>
        <v>0</v>
      </c>
      <c r="S24" s="21">
        <v>0.0</v>
      </c>
      <c r="T24" s="21">
        <v>0.0</v>
      </c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3"/>
      <c r="E25" s="23"/>
      <c r="F25" s="16">
        <f t="shared" si="10"/>
        <v>0</v>
      </c>
      <c r="G25" s="21">
        <v>0.0</v>
      </c>
      <c r="H25" s="21">
        <v>21.0</v>
      </c>
      <c r="I25" s="16">
        <f t="shared" si="11"/>
        <v>21</v>
      </c>
      <c r="J25" s="23"/>
      <c r="K25" s="23"/>
      <c r="L25" s="16">
        <f t="shared" si="12"/>
        <v>0</v>
      </c>
      <c r="M25" s="21">
        <v>0.0</v>
      </c>
      <c r="N25" s="21">
        <v>0.0</v>
      </c>
      <c r="O25" s="16">
        <f t="shared" si="13"/>
        <v>0</v>
      </c>
      <c r="P25" s="21">
        <v>0.0</v>
      </c>
      <c r="Q25" s="21">
        <v>0.0</v>
      </c>
      <c r="R25" s="16">
        <f t="shared" si="14"/>
        <v>0</v>
      </c>
      <c r="S25" s="21">
        <v>0.0</v>
      </c>
      <c r="T25" s="21">
        <v>0.0</v>
      </c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3"/>
      <c r="E26" s="23"/>
      <c r="F26" s="16">
        <f t="shared" si="10"/>
        <v>0</v>
      </c>
      <c r="G26" s="21">
        <v>28.0</v>
      </c>
      <c r="H26" s="21">
        <v>28.0</v>
      </c>
      <c r="I26" s="16">
        <f t="shared" si="11"/>
        <v>56</v>
      </c>
      <c r="J26" s="21">
        <v>44.0</v>
      </c>
      <c r="K26" s="21">
        <v>67.0</v>
      </c>
      <c r="L26" s="16">
        <f t="shared" si="12"/>
        <v>111</v>
      </c>
      <c r="M26" s="21">
        <v>24.0</v>
      </c>
      <c r="N26" s="21">
        <v>45.0</v>
      </c>
      <c r="O26" s="16">
        <f t="shared" si="13"/>
        <v>69</v>
      </c>
      <c r="P26" s="21">
        <v>15.0</v>
      </c>
      <c r="Q26" s="21">
        <v>37.0</v>
      </c>
      <c r="R26" s="16">
        <f t="shared" si="14"/>
        <v>52</v>
      </c>
      <c r="S26" s="21">
        <v>12.0</v>
      </c>
      <c r="T26" s="23">
        <f>34-S26</f>
        <v>22</v>
      </c>
      <c r="U26" s="16">
        <f t="shared" si="15"/>
        <v>34</v>
      </c>
    </row>
    <row r="27">
      <c r="A27" s="19"/>
      <c r="B27" s="20" t="s">
        <v>44</v>
      </c>
      <c r="C27" s="21" t="s">
        <v>45</v>
      </c>
      <c r="D27" s="23"/>
      <c r="E27" s="23"/>
      <c r="F27" s="16">
        <f t="shared" si="10"/>
        <v>0</v>
      </c>
      <c r="G27" s="21">
        <v>29.0</v>
      </c>
      <c r="H27" s="21">
        <v>67.0</v>
      </c>
      <c r="I27" s="16">
        <f t="shared" si="11"/>
        <v>96</v>
      </c>
      <c r="J27" s="21">
        <v>56.0</v>
      </c>
      <c r="K27" s="21">
        <v>95.0</v>
      </c>
      <c r="L27" s="16">
        <f t="shared" si="12"/>
        <v>151</v>
      </c>
      <c r="M27" s="21">
        <v>42.0</v>
      </c>
      <c r="N27" s="21">
        <v>104.0</v>
      </c>
      <c r="O27" s="16">
        <f t="shared" si="13"/>
        <v>146</v>
      </c>
      <c r="P27" s="21">
        <v>21.0</v>
      </c>
      <c r="Q27" s="21">
        <v>52.0</v>
      </c>
      <c r="R27" s="16">
        <f t="shared" si="14"/>
        <v>73</v>
      </c>
      <c r="S27" s="21">
        <v>32.0</v>
      </c>
      <c r="T27" s="23">
        <f>70-S27</f>
        <v>38</v>
      </c>
      <c r="U27" s="16">
        <f t="shared" si="15"/>
        <v>70</v>
      </c>
    </row>
    <row r="28">
      <c r="A28" s="19"/>
      <c r="B28" s="20" t="s">
        <v>46</v>
      </c>
      <c r="C28" s="21" t="s">
        <v>47</v>
      </c>
      <c r="D28" s="23"/>
      <c r="E28" s="23"/>
      <c r="F28" s="16">
        <f t="shared" si="10"/>
        <v>0</v>
      </c>
      <c r="G28" s="21">
        <v>17.0</v>
      </c>
      <c r="H28" s="21">
        <v>21.0</v>
      </c>
      <c r="I28" s="16">
        <f t="shared" si="11"/>
        <v>38</v>
      </c>
      <c r="J28" s="21">
        <v>19.0</v>
      </c>
      <c r="K28" s="21">
        <v>39.0</v>
      </c>
      <c r="L28" s="16">
        <f t="shared" si="12"/>
        <v>58</v>
      </c>
      <c r="M28" s="21">
        <v>5.0</v>
      </c>
      <c r="N28" s="21">
        <v>1.0</v>
      </c>
      <c r="O28" s="16">
        <f t="shared" si="13"/>
        <v>6</v>
      </c>
      <c r="P28" s="21">
        <v>10.0</v>
      </c>
      <c r="Q28" s="21">
        <v>25.0</v>
      </c>
      <c r="R28" s="16">
        <f t="shared" si="14"/>
        <v>35</v>
      </c>
      <c r="S28" s="21">
        <v>4.0</v>
      </c>
      <c r="T28" s="23">
        <f>17-S28</f>
        <v>13</v>
      </c>
      <c r="U28" s="16">
        <f t="shared" si="15"/>
        <v>17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1">
        <v>0.0</v>
      </c>
      <c r="H29" s="21">
        <v>0.0</v>
      </c>
      <c r="I29" s="16">
        <f t="shared" si="11"/>
        <v>0</v>
      </c>
      <c r="J29" s="23"/>
      <c r="K29" s="23"/>
      <c r="L29" s="16">
        <f t="shared" si="12"/>
        <v>0</v>
      </c>
      <c r="M29" s="21">
        <v>0.0</v>
      </c>
      <c r="N29" s="21">
        <v>0.0</v>
      </c>
      <c r="O29" s="16">
        <f t="shared" si="13"/>
        <v>0</v>
      </c>
      <c r="P29" s="21">
        <v>0.0</v>
      </c>
      <c r="Q29" s="21">
        <v>0.0</v>
      </c>
      <c r="R29" s="16">
        <f t="shared" si="14"/>
        <v>0</v>
      </c>
      <c r="S29" s="21">
        <v>0.0</v>
      </c>
      <c r="T29" s="21">
        <v>0.0</v>
      </c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3"/>
      <c r="E30" s="23"/>
      <c r="F30" s="16">
        <f t="shared" si="10"/>
        <v>0</v>
      </c>
      <c r="G30" s="21">
        <v>32.0</v>
      </c>
      <c r="H30" s="21">
        <v>32.0</v>
      </c>
      <c r="I30" s="16">
        <f t="shared" si="11"/>
        <v>64</v>
      </c>
      <c r="J30" s="21">
        <v>6.0</v>
      </c>
      <c r="K30" s="21">
        <v>22.0</v>
      </c>
      <c r="L30" s="16">
        <f t="shared" si="12"/>
        <v>28</v>
      </c>
      <c r="M30" s="21">
        <v>27.0</v>
      </c>
      <c r="N30" s="21">
        <v>46.0</v>
      </c>
      <c r="O30" s="16">
        <f t="shared" si="13"/>
        <v>73</v>
      </c>
      <c r="P30" s="21">
        <v>19.0</v>
      </c>
      <c r="Q30" s="21">
        <v>37.0</v>
      </c>
      <c r="R30" s="16">
        <f t="shared" si="14"/>
        <v>56</v>
      </c>
      <c r="S30" s="21">
        <v>32.0</v>
      </c>
      <c r="T30" s="23">
        <f>73-S30</f>
        <v>41</v>
      </c>
      <c r="U30" s="16">
        <f t="shared" si="15"/>
        <v>73</v>
      </c>
    </row>
    <row r="31">
      <c r="A31" s="19"/>
      <c r="B31" s="20" t="s">
        <v>52</v>
      </c>
      <c r="C31" s="21" t="s">
        <v>53</v>
      </c>
      <c r="D31" s="23"/>
      <c r="E31" s="23"/>
      <c r="F31" s="16">
        <f t="shared" si="10"/>
        <v>0</v>
      </c>
      <c r="G31" s="21">
        <v>0.0</v>
      </c>
      <c r="H31" s="21">
        <v>21.0</v>
      </c>
      <c r="I31" s="16">
        <f t="shared" si="11"/>
        <v>21</v>
      </c>
      <c r="J31" s="23"/>
      <c r="K31" s="23"/>
      <c r="L31" s="16">
        <f t="shared" si="12"/>
        <v>0</v>
      </c>
      <c r="M31" s="21">
        <v>0.0</v>
      </c>
      <c r="N31" s="21">
        <v>0.0</v>
      </c>
      <c r="O31" s="16">
        <f t="shared" si="13"/>
        <v>0</v>
      </c>
      <c r="P31" s="21">
        <v>0.0</v>
      </c>
      <c r="Q31" s="21">
        <v>22.0</v>
      </c>
      <c r="R31" s="16">
        <f t="shared" si="14"/>
        <v>22</v>
      </c>
      <c r="S31" s="21">
        <v>0.0</v>
      </c>
      <c r="T31" s="21">
        <v>9.0</v>
      </c>
      <c r="U31" s="16">
        <f t="shared" si="15"/>
        <v>9</v>
      </c>
    </row>
    <row r="32">
      <c r="A32" s="19"/>
      <c r="B32" s="20" t="s">
        <v>54</v>
      </c>
      <c r="C32" s="21" t="s">
        <v>55</v>
      </c>
      <c r="D32" s="23"/>
      <c r="E32" s="23"/>
      <c r="F32" s="16">
        <f t="shared" si="10"/>
        <v>0</v>
      </c>
      <c r="G32" s="21">
        <v>5.0</v>
      </c>
      <c r="H32" s="21">
        <v>27.0</v>
      </c>
      <c r="I32" s="16">
        <f t="shared" si="11"/>
        <v>32</v>
      </c>
      <c r="J32" s="21">
        <v>3.0</v>
      </c>
      <c r="K32" s="21">
        <v>16.0</v>
      </c>
      <c r="L32" s="16">
        <f t="shared" si="12"/>
        <v>19</v>
      </c>
      <c r="M32" s="21">
        <v>1.0</v>
      </c>
      <c r="N32" s="21">
        <v>14.0</v>
      </c>
      <c r="O32" s="16">
        <f t="shared" si="13"/>
        <v>15</v>
      </c>
      <c r="P32" s="21">
        <v>3.0</v>
      </c>
      <c r="Q32" s="21">
        <v>17.0</v>
      </c>
      <c r="R32" s="16">
        <f t="shared" si="14"/>
        <v>20</v>
      </c>
      <c r="S32" s="21">
        <v>0.0</v>
      </c>
      <c r="T32" s="21">
        <v>9.0</v>
      </c>
      <c r="U32" s="16">
        <f t="shared" si="15"/>
        <v>9</v>
      </c>
    </row>
    <row r="33">
      <c r="A33" s="19"/>
      <c r="B33" s="20" t="s">
        <v>56</v>
      </c>
      <c r="C33" s="21" t="s">
        <v>57</v>
      </c>
      <c r="D33" s="23"/>
      <c r="E33" s="23"/>
      <c r="F33" s="16">
        <f t="shared" si="10"/>
        <v>0</v>
      </c>
      <c r="G33" s="21">
        <v>5.0</v>
      </c>
      <c r="H33" s="21">
        <v>27.0</v>
      </c>
      <c r="I33" s="16">
        <f t="shared" si="11"/>
        <v>32</v>
      </c>
      <c r="J33" s="21">
        <v>0.0</v>
      </c>
      <c r="K33" s="21">
        <v>15.0</v>
      </c>
      <c r="L33" s="16">
        <f t="shared" si="12"/>
        <v>15</v>
      </c>
      <c r="M33" s="21">
        <v>1.0</v>
      </c>
      <c r="N33" s="21">
        <v>13.0</v>
      </c>
      <c r="O33" s="16">
        <f t="shared" si="13"/>
        <v>14</v>
      </c>
      <c r="P33" s="21">
        <v>3.0</v>
      </c>
      <c r="Q33" s="21">
        <v>17.0</v>
      </c>
      <c r="R33" s="16">
        <f t="shared" si="14"/>
        <v>20</v>
      </c>
      <c r="S33" s="21">
        <v>0.0</v>
      </c>
      <c r="T33" s="21">
        <v>9.0</v>
      </c>
      <c r="U33" s="16">
        <f t="shared" si="15"/>
        <v>9</v>
      </c>
    </row>
    <row r="34">
      <c r="A34" s="19"/>
      <c r="B34" s="20" t="s">
        <v>58</v>
      </c>
      <c r="C34" s="21" t="s">
        <v>59</v>
      </c>
      <c r="D34" s="23"/>
      <c r="E34" s="23"/>
      <c r="F34" s="16">
        <f t="shared" si="10"/>
        <v>0</v>
      </c>
      <c r="G34" s="21">
        <v>5.0</v>
      </c>
      <c r="H34" s="21">
        <v>30.0</v>
      </c>
      <c r="I34" s="16">
        <f t="shared" si="11"/>
        <v>35</v>
      </c>
      <c r="J34" s="21">
        <v>1.0</v>
      </c>
      <c r="K34" s="21">
        <v>15.0</v>
      </c>
      <c r="L34" s="16">
        <f t="shared" si="12"/>
        <v>16</v>
      </c>
      <c r="M34" s="21">
        <v>1.0</v>
      </c>
      <c r="N34" s="21">
        <v>12.0</v>
      </c>
      <c r="O34" s="16">
        <f t="shared" si="13"/>
        <v>13</v>
      </c>
      <c r="P34" s="21">
        <v>6.0</v>
      </c>
      <c r="Q34" s="21">
        <v>17.0</v>
      </c>
      <c r="R34" s="16">
        <f t="shared" si="14"/>
        <v>23</v>
      </c>
      <c r="S34" s="21">
        <v>0.0</v>
      </c>
      <c r="T34" s="21">
        <v>9.0</v>
      </c>
      <c r="U34" s="16">
        <f t="shared" si="15"/>
        <v>9</v>
      </c>
    </row>
    <row r="35">
      <c r="A35" s="19"/>
      <c r="B35" s="20" t="s">
        <v>60</v>
      </c>
      <c r="C35" s="21" t="s">
        <v>61</v>
      </c>
      <c r="D35" s="23"/>
      <c r="E35" s="23"/>
      <c r="F35" s="16">
        <f t="shared" si="10"/>
        <v>0</v>
      </c>
      <c r="G35" s="21">
        <v>0.0</v>
      </c>
      <c r="H35" s="21">
        <v>0.0</v>
      </c>
      <c r="I35" s="16">
        <f t="shared" si="11"/>
        <v>0</v>
      </c>
      <c r="J35" s="23"/>
      <c r="K35" s="23"/>
      <c r="L35" s="16">
        <f t="shared" si="12"/>
        <v>0</v>
      </c>
      <c r="M35" s="21">
        <v>1.0</v>
      </c>
      <c r="N35" s="21">
        <v>11.0</v>
      </c>
      <c r="O35" s="16">
        <f t="shared" si="13"/>
        <v>12</v>
      </c>
      <c r="P35" s="21">
        <v>14.0</v>
      </c>
      <c r="Q35" s="21">
        <v>17.0</v>
      </c>
      <c r="R35" s="16">
        <f t="shared" si="14"/>
        <v>31</v>
      </c>
      <c r="S35" s="21">
        <v>1.0</v>
      </c>
      <c r="T35" s="21">
        <v>9.0</v>
      </c>
      <c r="U35" s="16">
        <f t="shared" si="15"/>
        <v>10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1">
        <v>0.0</v>
      </c>
      <c r="H36" s="21">
        <v>0.0</v>
      </c>
      <c r="I36" s="16">
        <f t="shared" si="11"/>
        <v>0</v>
      </c>
      <c r="J36" s="23"/>
      <c r="K36" s="23"/>
      <c r="L36" s="16">
        <f t="shared" si="12"/>
        <v>0</v>
      </c>
      <c r="M36" s="21">
        <v>0.0</v>
      </c>
      <c r="N36" s="21">
        <v>0.0</v>
      </c>
      <c r="O36" s="16">
        <f t="shared" si="13"/>
        <v>0</v>
      </c>
      <c r="P36" s="21">
        <v>0.0</v>
      </c>
      <c r="Q36" s="21">
        <v>0.0</v>
      </c>
      <c r="R36" s="16">
        <f t="shared" si="14"/>
        <v>0</v>
      </c>
      <c r="S36" s="21">
        <v>0.0</v>
      </c>
      <c r="T36" s="21">
        <v>0.0</v>
      </c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1">
        <v>0.0</v>
      </c>
      <c r="H37" s="21">
        <v>0.0</v>
      </c>
      <c r="I37" s="16">
        <f t="shared" si="11"/>
        <v>0</v>
      </c>
      <c r="J37" s="23"/>
      <c r="K37" s="23"/>
      <c r="L37" s="16">
        <f t="shared" si="12"/>
        <v>0</v>
      </c>
      <c r="M37" s="21">
        <v>1.0</v>
      </c>
      <c r="N37" s="21">
        <v>2.0</v>
      </c>
      <c r="O37" s="16">
        <f t="shared" si="13"/>
        <v>3</v>
      </c>
      <c r="P37" s="21">
        <v>0.0</v>
      </c>
      <c r="Q37" s="21">
        <v>0.0</v>
      </c>
      <c r="R37" s="16">
        <f t="shared" si="14"/>
        <v>0</v>
      </c>
      <c r="S37" s="21">
        <v>0.0</v>
      </c>
      <c r="T37" s="21">
        <v>0.0</v>
      </c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3"/>
      <c r="F38" s="16">
        <f t="shared" si="10"/>
        <v>0</v>
      </c>
      <c r="G38" s="21">
        <v>0.0</v>
      </c>
      <c r="H38" s="21">
        <v>9.0</v>
      </c>
      <c r="I38" s="16">
        <f t="shared" si="11"/>
        <v>9</v>
      </c>
      <c r="J38" s="21">
        <v>0.0</v>
      </c>
      <c r="K38" s="21">
        <v>13.0</v>
      </c>
      <c r="L38" s="16">
        <f t="shared" si="12"/>
        <v>13</v>
      </c>
      <c r="M38" s="21">
        <v>0.0</v>
      </c>
      <c r="N38" s="21">
        <v>17.0</v>
      </c>
      <c r="O38" s="16">
        <f t="shared" si="13"/>
        <v>17</v>
      </c>
      <c r="P38" s="21">
        <v>0.0</v>
      </c>
      <c r="Q38" s="21">
        <v>8.0</v>
      </c>
      <c r="R38" s="16">
        <f t="shared" si="14"/>
        <v>8</v>
      </c>
      <c r="S38" s="21">
        <v>0.0</v>
      </c>
      <c r="T38" s="21">
        <v>6.0</v>
      </c>
      <c r="U38" s="16">
        <f t="shared" si="15"/>
        <v>6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1">
        <v>0.0</v>
      </c>
      <c r="H39" s="21">
        <v>0.0</v>
      </c>
      <c r="I39" s="16">
        <f t="shared" si="11"/>
        <v>0</v>
      </c>
      <c r="J39" s="23"/>
      <c r="K39" s="23"/>
      <c r="L39" s="16">
        <f t="shared" si="12"/>
        <v>0</v>
      </c>
      <c r="M39" s="21">
        <v>0.0</v>
      </c>
      <c r="N39" s="21">
        <v>0.0</v>
      </c>
      <c r="O39" s="16">
        <f t="shared" si="13"/>
        <v>0</v>
      </c>
      <c r="P39" s="21">
        <v>0.0</v>
      </c>
      <c r="Q39" s="21">
        <v>0.0</v>
      </c>
      <c r="R39" s="16">
        <f t="shared" si="14"/>
        <v>0</v>
      </c>
      <c r="S39" s="21">
        <v>0.0</v>
      </c>
      <c r="T39" s="21">
        <v>0.0</v>
      </c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1">
        <v>4.0</v>
      </c>
      <c r="H40" s="21">
        <v>8.0</v>
      </c>
      <c r="I40" s="16">
        <f t="shared" si="11"/>
        <v>12</v>
      </c>
      <c r="J40" s="23"/>
      <c r="K40" s="23"/>
      <c r="L40" s="16">
        <f t="shared" si="12"/>
        <v>0</v>
      </c>
      <c r="M40" s="21">
        <v>5.0</v>
      </c>
      <c r="N40" s="21">
        <v>28.0</v>
      </c>
      <c r="O40" s="16">
        <f t="shared" si="13"/>
        <v>33</v>
      </c>
      <c r="P40" s="21">
        <v>0.0</v>
      </c>
      <c r="Q40" s="21">
        <v>0.0</v>
      </c>
      <c r="R40" s="16">
        <f t="shared" si="14"/>
        <v>0</v>
      </c>
      <c r="S40" s="21">
        <v>0.0</v>
      </c>
      <c r="T40" s="21">
        <v>0.0</v>
      </c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1">
        <v>0.0</v>
      </c>
      <c r="H41" s="21">
        <v>0.0</v>
      </c>
      <c r="I41" s="16">
        <f t="shared" si="11"/>
        <v>0</v>
      </c>
      <c r="J41" s="23"/>
      <c r="K41" s="23"/>
      <c r="L41" s="16">
        <f t="shared" si="12"/>
        <v>0</v>
      </c>
      <c r="M41" s="21">
        <v>0.0</v>
      </c>
      <c r="N41" s="21">
        <v>0.0</v>
      </c>
      <c r="O41" s="16">
        <f t="shared" si="13"/>
        <v>0</v>
      </c>
      <c r="P41" s="21">
        <v>0.0</v>
      </c>
      <c r="Q41" s="21">
        <v>0.0</v>
      </c>
      <c r="R41" s="16">
        <f t="shared" si="14"/>
        <v>0</v>
      </c>
      <c r="S41" s="21">
        <v>0.0</v>
      </c>
      <c r="T41" s="21">
        <v>0.0</v>
      </c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143</v>
      </c>
      <c r="N46" s="16">
        <f t="shared" si="16"/>
        <v>299</v>
      </c>
      <c r="O46" s="16">
        <f t="shared" si="16"/>
        <v>442</v>
      </c>
      <c r="P46" s="16">
        <f t="shared" si="16"/>
        <v>28</v>
      </c>
      <c r="Q46" s="16">
        <f t="shared" si="16"/>
        <v>112</v>
      </c>
      <c r="R46" s="16">
        <f t="shared" si="16"/>
        <v>140</v>
      </c>
      <c r="S46" s="16">
        <f t="shared" si="16"/>
        <v>132</v>
      </c>
      <c r="T46" s="16">
        <f t="shared" si="16"/>
        <v>396</v>
      </c>
      <c r="U46" s="16">
        <f t="shared" si="16"/>
        <v>528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36</v>
      </c>
      <c r="N47" s="16">
        <f t="shared" si="17"/>
        <v>68</v>
      </c>
      <c r="O47" s="16">
        <f t="shared" si="17"/>
        <v>104</v>
      </c>
      <c r="P47" s="16">
        <f t="shared" si="17"/>
        <v>7</v>
      </c>
      <c r="Q47" s="16">
        <f t="shared" si="17"/>
        <v>18</v>
      </c>
      <c r="R47" s="16">
        <f t="shared" si="17"/>
        <v>25</v>
      </c>
      <c r="S47" s="16">
        <f t="shared" si="17"/>
        <v>39</v>
      </c>
      <c r="T47" s="16">
        <f t="shared" si="17"/>
        <v>86</v>
      </c>
      <c r="U47" s="16">
        <f t="shared" si="17"/>
        <v>125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1">
        <v>20.0</v>
      </c>
      <c r="N48" s="21">
        <v>24.0</v>
      </c>
      <c r="O48" s="16">
        <f t="shared" ref="O48:O55" si="21">SUM(M48:N48)</f>
        <v>44</v>
      </c>
      <c r="P48" s="21">
        <v>4.0</v>
      </c>
      <c r="Q48" s="21">
        <v>8.0</v>
      </c>
      <c r="R48" s="16">
        <f t="shared" ref="R48:R55" si="22">SUM(P48:Q48)</f>
        <v>12</v>
      </c>
      <c r="S48" s="21">
        <v>35.0</v>
      </c>
      <c r="T48" s="21">
        <v>70.0</v>
      </c>
      <c r="U48" s="16">
        <f t="shared" ref="U48:U55" si="23">SUM(S48:T48)</f>
        <v>105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1">
        <v>0.0</v>
      </c>
      <c r="N49" s="21">
        <v>23.0</v>
      </c>
      <c r="O49" s="16">
        <f t="shared" si="21"/>
        <v>23</v>
      </c>
      <c r="P49" s="21">
        <v>0.0</v>
      </c>
      <c r="Q49" s="21">
        <v>8.0</v>
      </c>
      <c r="R49" s="16">
        <f t="shared" si="22"/>
        <v>8</v>
      </c>
      <c r="S49" s="21">
        <v>4.0</v>
      </c>
      <c r="T49" s="21">
        <v>16.0</v>
      </c>
      <c r="U49" s="16">
        <f t="shared" si="23"/>
        <v>20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1">
        <v>3.0</v>
      </c>
      <c r="N50" s="21">
        <v>5.0</v>
      </c>
      <c r="O50" s="16">
        <f t="shared" si="21"/>
        <v>8</v>
      </c>
      <c r="P50" s="21">
        <v>0.0</v>
      </c>
      <c r="Q50" s="21">
        <v>0.0</v>
      </c>
      <c r="R50" s="16">
        <f t="shared" si="22"/>
        <v>0</v>
      </c>
      <c r="S50" s="23"/>
      <c r="T50" s="23"/>
      <c r="U50" s="16">
        <f t="shared" si="23"/>
        <v>0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1">
        <v>11.0</v>
      </c>
      <c r="N51" s="21">
        <v>14.0</v>
      </c>
      <c r="O51" s="16">
        <f t="shared" si="21"/>
        <v>25</v>
      </c>
      <c r="P51" s="21">
        <v>3.0</v>
      </c>
      <c r="Q51" s="21">
        <v>1.0</v>
      </c>
      <c r="R51" s="16">
        <f t="shared" si="22"/>
        <v>4</v>
      </c>
      <c r="S51" s="23"/>
      <c r="T51" s="23"/>
      <c r="U51" s="16">
        <f t="shared" si="23"/>
        <v>0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1">
        <v>2.0</v>
      </c>
      <c r="N52" s="21">
        <v>2.0</v>
      </c>
      <c r="O52" s="16">
        <f t="shared" si="21"/>
        <v>4</v>
      </c>
      <c r="P52" s="21">
        <v>0.0</v>
      </c>
      <c r="Q52" s="21">
        <v>0.0</v>
      </c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1">
        <v>0.0</v>
      </c>
      <c r="N53" s="21">
        <v>0.0</v>
      </c>
      <c r="O53" s="16">
        <f t="shared" si="21"/>
        <v>0</v>
      </c>
      <c r="P53" s="21">
        <v>0.0</v>
      </c>
      <c r="Q53" s="21">
        <v>0.0</v>
      </c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1">
        <v>0.0</v>
      </c>
      <c r="N54" s="21">
        <v>0.0</v>
      </c>
      <c r="O54" s="16">
        <f t="shared" si="21"/>
        <v>0</v>
      </c>
      <c r="P54" s="21">
        <v>0.0</v>
      </c>
      <c r="Q54" s="21">
        <v>1.0</v>
      </c>
      <c r="R54" s="16">
        <f t="shared" si="22"/>
        <v>1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1">
        <v>0.0</v>
      </c>
      <c r="N55" s="21">
        <v>0.0</v>
      </c>
      <c r="O55" s="16">
        <f t="shared" si="21"/>
        <v>0</v>
      </c>
      <c r="P55" s="21">
        <v>0.0</v>
      </c>
      <c r="Q55" s="21">
        <v>0.0</v>
      </c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107</v>
      </c>
      <c r="N56" s="16">
        <f t="shared" si="24"/>
        <v>231</v>
      </c>
      <c r="O56" s="16">
        <f t="shared" si="24"/>
        <v>338</v>
      </c>
      <c r="P56" s="16">
        <f t="shared" si="24"/>
        <v>21</v>
      </c>
      <c r="Q56" s="16">
        <f t="shared" si="24"/>
        <v>94</v>
      </c>
      <c r="R56" s="16">
        <f t="shared" si="24"/>
        <v>115</v>
      </c>
      <c r="S56" s="16">
        <f t="shared" si="24"/>
        <v>93</v>
      </c>
      <c r="T56" s="16">
        <f t="shared" si="24"/>
        <v>310</v>
      </c>
      <c r="U56" s="16">
        <f t="shared" si="24"/>
        <v>403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1">
        <v>5.0</v>
      </c>
      <c r="N57" s="21">
        <v>8.0</v>
      </c>
      <c r="O57" s="16">
        <f t="shared" ref="O57:O79" si="28">SUM(M57:N57)</f>
        <v>13</v>
      </c>
      <c r="P57" s="21">
        <v>1.0</v>
      </c>
      <c r="Q57" s="21">
        <v>9.0</v>
      </c>
      <c r="R57" s="16">
        <f t="shared" ref="R57:R79" si="29">SUM(P57:Q57)</f>
        <v>10</v>
      </c>
      <c r="S57" s="21">
        <v>12.0</v>
      </c>
      <c r="T57" s="21">
        <v>25.0</v>
      </c>
      <c r="U57" s="16">
        <f t="shared" ref="U57:U79" si="30">SUM(S57:T57)</f>
        <v>37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1">
        <v>22.0</v>
      </c>
      <c r="N58" s="21">
        <v>36.0</v>
      </c>
      <c r="O58" s="16">
        <f t="shared" si="28"/>
        <v>58</v>
      </c>
      <c r="P58" s="21">
        <v>1.0</v>
      </c>
      <c r="Q58" s="21">
        <v>10.0</v>
      </c>
      <c r="R58" s="16">
        <f t="shared" si="29"/>
        <v>11</v>
      </c>
      <c r="S58" s="21">
        <v>2.0</v>
      </c>
      <c r="T58" s="21">
        <v>31.0</v>
      </c>
      <c r="U58" s="16">
        <f t="shared" si="30"/>
        <v>33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1">
        <v>0.0</v>
      </c>
      <c r="N59" s="21">
        <v>0.0</v>
      </c>
      <c r="O59" s="16">
        <f t="shared" si="28"/>
        <v>0</v>
      </c>
      <c r="P59" s="21">
        <v>0.0</v>
      </c>
      <c r="Q59" s="21">
        <v>0.0</v>
      </c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1">
        <v>0.0</v>
      </c>
      <c r="N60" s="21">
        <v>0.0</v>
      </c>
      <c r="O60" s="16">
        <f t="shared" si="28"/>
        <v>0</v>
      </c>
      <c r="P60" s="21">
        <v>0.0</v>
      </c>
      <c r="Q60" s="21">
        <v>0.0</v>
      </c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1">
        <v>0.0</v>
      </c>
      <c r="N61" s="21">
        <v>0.0</v>
      </c>
      <c r="O61" s="16">
        <f t="shared" si="28"/>
        <v>0</v>
      </c>
      <c r="P61" s="21">
        <v>1.0</v>
      </c>
      <c r="Q61" s="21">
        <v>6.0</v>
      </c>
      <c r="R61" s="16">
        <f t="shared" si="29"/>
        <v>7</v>
      </c>
      <c r="S61" s="21">
        <v>2.0</v>
      </c>
      <c r="T61" s="21">
        <v>30.0</v>
      </c>
      <c r="U61" s="16">
        <f t="shared" si="30"/>
        <v>32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1">
        <v>0.0</v>
      </c>
      <c r="N62" s="21">
        <v>0.0</v>
      </c>
      <c r="O62" s="16">
        <f t="shared" si="28"/>
        <v>0</v>
      </c>
      <c r="P62" s="21">
        <v>0.0</v>
      </c>
      <c r="Q62" s="21">
        <v>0.0</v>
      </c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1">
        <v>0.0</v>
      </c>
      <c r="N63" s="21">
        <v>0.0</v>
      </c>
      <c r="O63" s="16">
        <f t="shared" si="28"/>
        <v>0</v>
      </c>
      <c r="P63" s="21">
        <v>0.0</v>
      </c>
      <c r="Q63" s="21">
        <v>0.0</v>
      </c>
      <c r="R63" s="16">
        <f t="shared" si="29"/>
        <v>0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1">
        <v>28.0</v>
      </c>
      <c r="N64" s="21">
        <v>32.0</v>
      </c>
      <c r="O64" s="16">
        <f t="shared" si="28"/>
        <v>60</v>
      </c>
      <c r="P64" s="21">
        <v>4.0</v>
      </c>
      <c r="Q64" s="21">
        <v>4.0</v>
      </c>
      <c r="R64" s="16">
        <f t="shared" si="29"/>
        <v>8</v>
      </c>
      <c r="S64" s="21">
        <v>15.0</v>
      </c>
      <c r="T64" s="21">
        <v>36.0</v>
      </c>
      <c r="U64" s="16">
        <f t="shared" si="30"/>
        <v>51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1">
        <v>17.0</v>
      </c>
      <c r="N65" s="21">
        <v>37.0</v>
      </c>
      <c r="O65" s="16">
        <f t="shared" si="28"/>
        <v>54</v>
      </c>
      <c r="P65" s="21">
        <v>3.0</v>
      </c>
      <c r="Q65" s="21">
        <v>11.0</v>
      </c>
      <c r="R65" s="16">
        <f t="shared" si="29"/>
        <v>14</v>
      </c>
      <c r="S65" s="21">
        <v>28.0</v>
      </c>
      <c r="T65" s="21">
        <v>72.0</v>
      </c>
      <c r="U65" s="16">
        <f t="shared" si="30"/>
        <v>100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1">
        <v>10.0</v>
      </c>
      <c r="N66" s="21">
        <v>13.0</v>
      </c>
      <c r="O66" s="16">
        <f t="shared" si="28"/>
        <v>23</v>
      </c>
      <c r="P66" s="21">
        <v>2.0</v>
      </c>
      <c r="Q66" s="21">
        <v>5.0</v>
      </c>
      <c r="R66" s="16">
        <f t="shared" si="29"/>
        <v>7</v>
      </c>
      <c r="S66" s="21">
        <v>3.0</v>
      </c>
      <c r="T66" s="21">
        <v>6.0</v>
      </c>
      <c r="U66" s="16">
        <f t="shared" si="30"/>
        <v>9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1">
        <v>0.0</v>
      </c>
      <c r="N67" s="21">
        <v>0.0</v>
      </c>
      <c r="O67" s="16">
        <f t="shared" si="28"/>
        <v>0</v>
      </c>
      <c r="P67" s="21">
        <v>4.0</v>
      </c>
      <c r="Q67" s="21">
        <v>4.0</v>
      </c>
      <c r="R67" s="16">
        <f t="shared" si="29"/>
        <v>8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1">
        <v>23.0</v>
      </c>
      <c r="N68" s="21">
        <v>27.0</v>
      </c>
      <c r="O68" s="16">
        <f t="shared" si="28"/>
        <v>50</v>
      </c>
      <c r="P68" s="21">
        <v>3.0</v>
      </c>
      <c r="Q68" s="21">
        <v>5.0</v>
      </c>
      <c r="R68" s="16">
        <f t="shared" si="29"/>
        <v>8</v>
      </c>
      <c r="S68" s="21">
        <v>14.0</v>
      </c>
      <c r="T68" s="21">
        <v>41.0</v>
      </c>
      <c r="U68" s="16">
        <f t="shared" si="30"/>
        <v>55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1">
        <v>0.0</v>
      </c>
      <c r="N69" s="21">
        <v>8.0</v>
      </c>
      <c r="O69" s="16">
        <f t="shared" si="28"/>
        <v>8</v>
      </c>
      <c r="P69" s="21">
        <v>0.0</v>
      </c>
      <c r="Q69" s="21">
        <v>0.0</v>
      </c>
      <c r="R69" s="16">
        <f t="shared" si="29"/>
        <v>0</v>
      </c>
      <c r="S69" s="23"/>
      <c r="T69" s="21">
        <v>4.0</v>
      </c>
      <c r="U69" s="16">
        <f t="shared" si="30"/>
        <v>4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1">
        <v>0.0</v>
      </c>
      <c r="N70" s="21">
        <v>12.0</v>
      </c>
      <c r="O70" s="16">
        <f t="shared" si="28"/>
        <v>12</v>
      </c>
      <c r="P70" s="21">
        <v>0.0</v>
      </c>
      <c r="Q70" s="21">
        <v>9.0</v>
      </c>
      <c r="R70" s="16">
        <f t="shared" si="29"/>
        <v>9</v>
      </c>
      <c r="S70" s="21">
        <v>5.0</v>
      </c>
      <c r="T70" s="21">
        <v>16.0</v>
      </c>
      <c r="U70" s="16">
        <f t="shared" si="30"/>
        <v>21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1">
        <v>0.0</v>
      </c>
      <c r="N71" s="21">
        <v>12.0</v>
      </c>
      <c r="O71" s="16">
        <f t="shared" si="28"/>
        <v>12</v>
      </c>
      <c r="P71" s="21">
        <v>1.0</v>
      </c>
      <c r="Q71" s="21">
        <v>9.0</v>
      </c>
      <c r="R71" s="16">
        <f t="shared" si="29"/>
        <v>10</v>
      </c>
      <c r="S71" s="21">
        <v>5.0</v>
      </c>
      <c r="T71" s="21">
        <v>16.0</v>
      </c>
      <c r="U71" s="16">
        <f t="shared" si="30"/>
        <v>21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1">
        <v>0.0</v>
      </c>
      <c r="N72" s="21">
        <v>12.0</v>
      </c>
      <c r="O72" s="16">
        <f t="shared" si="28"/>
        <v>12</v>
      </c>
      <c r="P72" s="21">
        <v>1.0</v>
      </c>
      <c r="Q72" s="21">
        <v>9.0</v>
      </c>
      <c r="R72" s="16">
        <f t="shared" si="29"/>
        <v>10</v>
      </c>
      <c r="S72" s="21">
        <v>6.0</v>
      </c>
      <c r="T72" s="21">
        <v>21.0</v>
      </c>
      <c r="U72" s="16">
        <f t="shared" si="30"/>
        <v>27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1">
        <v>0.0</v>
      </c>
      <c r="N73" s="21">
        <v>11.0</v>
      </c>
      <c r="O73" s="16">
        <f t="shared" si="28"/>
        <v>11</v>
      </c>
      <c r="P73" s="21">
        <v>0.0</v>
      </c>
      <c r="Q73" s="21">
        <v>9.0</v>
      </c>
      <c r="R73" s="16">
        <f t="shared" si="29"/>
        <v>9</v>
      </c>
      <c r="S73" s="21">
        <v>1.0</v>
      </c>
      <c r="T73" s="21">
        <v>7.0</v>
      </c>
      <c r="U73" s="16">
        <f t="shared" si="30"/>
        <v>8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1">
        <v>0.0</v>
      </c>
      <c r="N74" s="21">
        <v>0.0</v>
      </c>
      <c r="O74" s="16">
        <f t="shared" si="28"/>
        <v>0</v>
      </c>
      <c r="P74" s="21">
        <v>0.0</v>
      </c>
      <c r="Q74" s="21">
        <v>0.0</v>
      </c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1">
        <v>0.0</v>
      </c>
      <c r="N75" s="21">
        <v>0.0</v>
      </c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1">
        <v>0.0</v>
      </c>
      <c r="N76" s="21">
        <v>15.0</v>
      </c>
      <c r="O76" s="16">
        <f t="shared" si="28"/>
        <v>15</v>
      </c>
      <c r="P76" s="21">
        <v>0.0</v>
      </c>
      <c r="Q76" s="21">
        <v>4.0</v>
      </c>
      <c r="R76" s="16">
        <f t="shared" si="29"/>
        <v>4</v>
      </c>
      <c r="S76" s="23"/>
      <c r="T76" s="21">
        <v>5.0</v>
      </c>
      <c r="U76" s="16">
        <f t="shared" si="30"/>
        <v>5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1">
        <v>0.0</v>
      </c>
      <c r="N77" s="21">
        <v>0.0</v>
      </c>
      <c r="O77" s="16">
        <f t="shared" si="28"/>
        <v>0</v>
      </c>
      <c r="P77" s="21">
        <v>0.0</v>
      </c>
      <c r="Q77" s="21">
        <v>0.0</v>
      </c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1">
        <v>2.0</v>
      </c>
      <c r="N78" s="21">
        <v>8.0</v>
      </c>
      <c r="O78" s="16">
        <f t="shared" si="28"/>
        <v>10</v>
      </c>
      <c r="P78" s="21">
        <v>0.0</v>
      </c>
      <c r="Q78" s="21">
        <v>0.0</v>
      </c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1">
        <v>0.0</v>
      </c>
      <c r="N79" s="21">
        <v>0.0</v>
      </c>
      <c r="O79" s="16">
        <f t="shared" si="28"/>
        <v>0</v>
      </c>
      <c r="P79" s="21">
        <v>0.0</v>
      </c>
      <c r="Q79" s="21">
        <v>0.0</v>
      </c>
      <c r="R79" s="16">
        <f t="shared" si="29"/>
        <v>0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82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0</v>
      </c>
      <c r="E8" s="16">
        <f t="shared" si="1"/>
        <v>0</v>
      </c>
      <c r="F8" s="16">
        <f t="shared" si="1"/>
        <v>0</v>
      </c>
      <c r="G8" s="16">
        <f t="shared" si="1"/>
        <v>124</v>
      </c>
      <c r="H8" s="16">
        <f t="shared" si="1"/>
        <v>491</v>
      </c>
      <c r="I8" s="16">
        <f t="shared" si="1"/>
        <v>615</v>
      </c>
      <c r="J8" s="16">
        <f t="shared" si="1"/>
        <v>49</v>
      </c>
      <c r="K8" s="16">
        <f t="shared" si="1"/>
        <v>368</v>
      </c>
      <c r="L8" s="16">
        <f t="shared" si="1"/>
        <v>417</v>
      </c>
      <c r="M8" s="16">
        <f t="shared" si="1"/>
        <v>139</v>
      </c>
      <c r="N8" s="16">
        <f t="shared" si="1"/>
        <v>458</v>
      </c>
      <c r="O8" s="16">
        <f t="shared" si="1"/>
        <v>597</v>
      </c>
      <c r="P8" s="16">
        <f t="shared" si="1"/>
        <v>0</v>
      </c>
      <c r="Q8" s="16">
        <f t="shared" si="1"/>
        <v>0</v>
      </c>
      <c r="R8" s="16">
        <f t="shared" si="1"/>
        <v>0</v>
      </c>
      <c r="S8" s="16">
        <f t="shared" si="1"/>
        <v>0</v>
      </c>
      <c r="T8" s="16">
        <f t="shared" si="1"/>
        <v>0</v>
      </c>
      <c r="U8" s="16">
        <f t="shared" si="1"/>
        <v>0</v>
      </c>
    </row>
    <row r="9">
      <c r="A9" s="17">
        <v>2.0</v>
      </c>
      <c r="B9" s="18" t="s">
        <v>15</v>
      </c>
      <c r="C9" s="9"/>
      <c r="D9" s="16">
        <f t="shared" ref="D9:U9" si="2">SUM(D10:D17)</f>
        <v>0</v>
      </c>
      <c r="E9" s="16">
        <f t="shared" si="2"/>
        <v>0</v>
      </c>
      <c r="F9" s="16">
        <f t="shared" si="2"/>
        <v>0</v>
      </c>
      <c r="G9" s="16">
        <f t="shared" si="2"/>
        <v>51</v>
      </c>
      <c r="H9" s="16">
        <f t="shared" si="2"/>
        <v>115</v>
      </c>
      <c r="I9" s="16">
        <f t="shared" si="2"/>
        <v>166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51</v>
      </c>
      <c r="N9" s="16">
        <f t="shared" si="2"/>
        <v>142</v>
      </c>
      <c r="O9" s="16">
        <f t="shared" si="2"/>
        <v>193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</row>
    <row r="10">
      <c r="A10" s="19"/>
      <c r="B10" s="20" t="s">
        <v>16</v>
      </c>
      <c r="C10" s="21" t="s">
        <v>17</v>
      </c>
      <c r="D10" s="23"/>
      <c r="E10" s="23"/>
      <c r="F10" s="16">
        <f t="shared" ref="F10:F17" si="3">SUM(D10:E10)</f>
        <v>0</v>
      </c>
      <c r="G10" s="21">
        <v>46.0</v>
      </c>
      <c r="H10" s="21">
        <v>61.0</v>
      </c>
      <c r="I10" s="16">
        <f t="shared" ref="I10:I17" si="4">SUM(G10:H10)</f>
        <v>107</v>
      </c>
      <c r="J10" s="23"/>
      <c r="K10" s="23"/>
      <c r="L10" s="16">
        <f t="shared" ref="L10:L17" si="5">SUM(J10:K10)</f>
        <v>0</v>
      </c>
      <c r="M10" s="21">
        <v>37.0</v>
      </c>
      <c r="N10" s="21">
        <v>72.0</v>
      </c>
      <c r="O10" s="16">
        <f t="shared" ref="O10:O17" si="6">SUM(M10:N10)</f>
        <v>109</v>
      </c>
      <c r="P10" s="23"/>
      <c r="Q10" s="23"/>
      <c r="R10" s="16">
        <f t="shared" ref="R10:R17" si="7">SUM(P10:Q10)</f>
        <v>0</v>
      </c>
      <c r="S10" s="23"/>
      <c r="T10" s="23"/>
      <c r="U10" s="16">
        <f t="shared" ref="U10:U17" si="8">SUM(S10:T10)</f>
        <v>0</v>
      </c>
    </row>
    <row r="11">
      <c r="A11" s="19"/>
      <c r="B11" s="20" t="s">
        <v>19</v>
      </c>
      <c r="C11" s="21" t="s">
        <v>20</v>
      </c>
      <c r="D11" s="23"/>
      <c r="E11" s="23"/>
      <c r="F11" s="16">
        <f t="shared" si="3"/>
        <v>0</v>
      </c>
      <c r="G11" s="21">
        <v>0.0</v>
      </c>
      <c r="H11" s="21">
        <v>46.0</v>
      </c>
      <c r="I11" s="16">
        <f t="shared" si="4"/>
        <v>46</v>
      </c>
      <c r="J11" s="21">
        <v>0.0</v>
      </c>
      <c r="K11" s="23"/>
      <c r="L11" s="16">
        <f t="shared" si="5"/>
        <v>0</v>
      </c>
      <c r="M11" s="21">
        <v>0.0</v>
      </c>
      <c r="N11" s="21">
        <v>27.0</v>
      </c>
      <c r="O11" s="16">
        <f t="shared" si="6"/>
        <v>27</v>
      </c>
      <c r="P11" s="23"/>
      <c r="Q11" s="23"/>
      <c r="R11" s="16">
        <f t="shared" si="7"/>
        <v>0</v>
      </c>
      <c r="S11" s="23"/>
      <c r="T11" s="23"/>
      <c r="U11" s="16">
        <f t="shared" si="8"/>
        <v>0</v>
      </c>
    </row>
    <row r="12">
      <c r="A12" s="19"/>
      <c r="B12" s="20" t="s">
        <v>22</v>
      </c>
      <c r="C12" s="21" t="s">
        <v>23</v>
      </c>
      <c r="D12" s="23"/>
      <c r="E12" s="23"/>
      <c r="F12" s="16">
        <f t="shared" si="3"/>
        <v>0</v>
      </c>
      <c r="G12" s="21">
        <v>0.0</v>
      </c>
      <c r="H12" s="21">
        <v>0.0</v>
      </c>
      <c r="I12" s="16">
        <f t="shared" si="4"/>
        <v>0</v>
      </c>
      <c r="J12" s="23"/>
      <c r="K12" s="23"/>
      <c r="L12" s="16">
        <f t="shared" si="5"/>
        <v>0</v>
      </c>
      <c r="M12" s="21">
        <v>0.0</v>
      </c>
      <c r="N12" s="21">
        <v>0.0</v>
      </c>
      <c r="O12" s="16">
        <f t="shared" si="6"/>
        <v>0</v>
      </c>
      <c r="P12" s="23"/>
      <c r="Q12" s="23"/>
      <c r="R12" s="16">
        <f t="shared" si="7"/>
        <v>0</v>
      </c>
      <c r="S12" s="23"/>
      <c r="T12" s="23"/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3"/>
      <c r="E13" s="23"/>
      <c r="F13" s="16">
        <f t="shared" si="3"/>
        <v>0</v>
      </c>
      <c r="G13" s="21">
        <v>5.0</v>
      </c>
      <c r="H13" s="21">
        <v>0.0</v>
      </c>
      <c r="I13" s="16">
        <f t="shared" si="4"/>
        <v>5</v>
      </c>
      <c r="J13" s="23"/>
      <c r="K13" s="23"/>
      <c r="L13" s="16">
        <f t="shared" si="5"/>
        <v>0</v>
      </c>
      <c r="M13" s="21">
        <v>2.0</v>
      </c>
      <c r="N13" s="21">
        <v>11.0</v>
      </c>
      <c r="O13" s="16">
        <f t="shared" si="6"/>
        <v>13</v>
      </c>
      <c r="P13" s="23"/>
      <c r="Q13" s="23"/>
      <c r="R13" s="16">
        <f t="shared" si="7"/>
        <v>0</v>
      </c>
      <c r="S13" s="23"/>
      <c r="T13" s="23"/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3"/>
      <c r="E14" s="23"/>
      <c r="F14" s="16">
        <f t="shared" si="3"/>
        <v>0</v>
      </c>
      <c r="G14" s="21">
        <v>0.0</v>
      </c>
      <c r="H14" s="21">
        <v>3.0</v>
      </c>
      <c r="I14" s="16">
        <f t="shared" si="4"/>
        <v>3</v>
      </c>
      <c r="J14" s="23"/>
      <c r="K14" s="23"/>
      <c r="L14" s="16">
        <f t="shared" si="5"/>
        <v>0</v>
      </c>
      <c r="M14" s="21">
        <v>4.0</v>
      </c>
      <c r="N14" s="21">
        <v>4.0</v>
      </c>
      <c r="O14" s="16">
        <f t="shared" si="6"/>
        <v>8</v>
      </c>
      <c r="P14" s="23"/>
      <c r="Q14" s="23"/>
      <c r="R14" s="16">
        <f t="shared" si="7"/>
        <v>0</v>
      </c>
      <c r="S14" s="23"/>
      <c r="T14" s="23"/>
      <c r="U14" s="16">
        <f t="shared" si="8"/>
        <v>0</v>
      </c>
    </row>
    <row r="15">
      <c r="A15" s="19"/>
      <c r="B15" s="20" t="s">
        <v>29</v>
      </c>
      <c r="C15" s="21" t="s">
        <v>30</v>
      </c>
      <c r="D15" s="23"/>
      <c r="E15" s="23"/>
      <c r="F15" s="16">
        <f t="shared" si="3"/>
        <v>0</v>
      </c>
      <c r="G15" s="21">
        <v>0.0</v>
      </c>
      <c r="H15" s="21">
        <v>0.0</v>
      </c>
      <c r="I15" s="16">
        <f t="shared" si="4"/>
        <v>0</v>
      </c>
      <c r="J15" s="23"/>
      <c r="K15" s="23"/>
      <c r="L15" s="16">
        <f t="shared" si="5"/>
        <v>0</v>
      </c>
      <c r="M15" s="21">
        <v>0.0</v>
      </c>
      <c r="N15" s="21">
        <v>0.0</v>
      </c>
      <c r="O15" s="16">
        <f t="shared" si="6"/>
        <v>0</v>
      </c>
      <c r="P15" s="23"/>
      <c r="Q15" s="23"/>
      <c r="R15" s="16">
        <f t="shared" si="7"/>
        <v>0</v>
      </c>
      <c r="S15" s="23"/>
      <c r="T15" s="23"/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3"/>
      <c r="E16" s="23"/>
      <c r="F16" s="16">
        <f t="shared" si="3"/>
        <v>0</v>
      </c>
      <c r="G16" s="21">
        <v>0.0</v>
      </c>
      <c r="H16" s="21">
        <v>5.0</v>
      </c>
      <c r="I16" s="16">
        <f t="shared" si="4"/>
        <v>5</v>
      </c>
      <c r="J16" s="23"/>
      <c r="K16" s="23"/>
      <c r="L16" s="16">
        <f t="shared" si="5"/>
        <v>0</v>
      </c>
      <c r="M16" s="21">
        <v>6.0</v>
      </c>
      <c r="N16" s="21">
        <v>20.0</v>
      </c>
      <c r="O16" s="16">
        <f t="shared" si="6"/>
        <v>26</v>
      </c>
      <c r="P16" s="23"/>
      <c r="Q16" s="23"/>
      <c r="R16" s="16">
        <f t="shared" si="7"/>
        <v>0</v>
      </c>
      <c r="S16" s="23"/>
      <c r="T16" s="23"/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3"/>
      <c r="E17" s="23"/>
      <c r="F17" s="16">
        <f t="shared" si="3"/>
        <v>0</v>
      </c>
      <c r="G17" s="21">
        <v>0.0</v>
      </c>
      <c r="H17" s="21">
        <v>0.0</v>
      </c>
      <c r="I17" s="16">
        <f t="shared" si="4"/>
        <v>0</v>
      </c>
      <c r="J17" s="23"/>
      <c r="K17" s="23"/>
      <c r="L17" s="16">
        <f t="shared" si="5"/>
        <v>0</v>
      </c>
      <c r="M17" s="21">
        <v>2.0</v>
      </c>
      <c r="N17" s="21">
        <v>8.0</v>
      </c>
      <c r="O17" s="16">
        <f t="shared" si="6"/>
        <v>10</v>
      </c>
      <c r="P17" s="23"/>
      <c r="Q17" s="23"/>
      <c r="R17" s="16">
        <f t="shared" si="7"/>
        <v>0</v>
      </c>
      <c r="S17" s="23"/>
      <c r="T17" s="23"/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0</v>
      </c>
      <c r="E18" s="16">
        <f t="shared" si="9"/>
        <v>0</v>
      </c>
      <c r="F18" s="16">
        <f t="shared" si="9"/>
        <v>0</v>
      </c>
      <c r="G18" s="16">
        <f t="shared" si="9"/>
        <v>73</v>
      </c>
      <c r="H18" s="16">
        <f t="shared" si="9"/>
        <v>376</v>
      </c>
      <c r="I18" s="16">
        <f t="shared" si="9"/>
        <v>449</v>
      </c>
      <c r="J18" s="16">
        <f t="shared" si="9"/>
        <v>49</v>
      </c>
      <c r="K18" s="16">
        <f t="shared" si="9"/>
        <v>368</v>
      </c>
      <c r="L18" s="16">
        <f t="shared" si="9"/>
        <v>417</v>
      </c>
      <c r="M18" s="16">
        <f t="shared" si="9"/>
        <v>88</v>
      </c>
      <c r="N18" s="16">
        <f t="shared" si="9"/>
        <v>316</v>
      </c>
      <c r="O18" s="16">
        <f t="shared" si="9"/>
        <v>404</v>
      </c>
      <c r="P18" s="16">
        <f t="shared" si="9"/>
        <v>0</v>
      </c>
      <c r="Q18" s="16">
        <f t="shared" si="9"/>
        <v>0</v>
      </c>
      <c r="R18" s="16">
        <f t="shared" si="9"/>
        <v>0</v>
      </c>
      <c r="S18" s="16">
        <f t="shared" si="9"/>
        <v>0</v>
      </c>
      <c r="T18" s="16">
        <f t="shared" si="9"/>
        <v>0</v>
      </c>
      <c r="U18" s="16">
        <f t="shared" si="9"/>
        <v>0</v>
      </c>
    </row>
    <row r="19">
      <c r="A19" s="19"/>
      <c r="B19" s="20" t="s">
        <v>16</v>
      </c>
      <c r="C19" s="21" t="s">
        <v>36</v>
      </c>
      <c r="D19" s="23"/>
      <c r="E19" s="23"/>
      <c r="F19" s="16">
        <f t="shared" ref="F19:F41" si="10">SUM(D19:E19)</f>
        <v>0</v>
      </c>
      <c r="G19" s="21">
        <v>1.0</v>
      </c>
      <c r="H19" s="21">
        <v>39.0</v>
      </c>
      <c r="I19" s="16">
        <f t="shared" ref="I19:I41" si="11">SUM(G19:H19)</f>
        <v>40</v>
      </c>
      <c r="J19" s="21">
        <v>1.0</v>
      </c>
      <c r="K19" s="21">
        <v>13.0</v>
      </c>
      <c r="L19" s="16">
        <f t="shared" ref="L19:L41" si="12">SUM(J19:K19)</f>
        <v>14</v>
      </c>
      <c r="M19" s="21">
        <v>3.0</v>
      </c>
      <c r="N19" s="21">
        <v>11.0</v>
      </c>
      <c r="O19" s="16">
        <f t="shared" ref="O19:O41" si="13">SUM(M19:N19)</f>
        <v>14</v>
      </c>
      <c r="P19" s="23"/>
      <c r="Q19" s="23"/>
      <c r="R19" s="16">
        <f t="shared" ref="R19:R41" si="14">SUM(P19:Q19)</f>
        <v>0</v>
      </c>
      <c r="S19" s="23"/>
      <c r="T19" s="23"/>
      <c r="U19" s="16">
        <f t="shared" ref="U19:U41" si="15">SUM(S19:T19)</f>
        <v>0</v>
      </c>
    </row>
    <row r="20">
      <c r="A20" s="19"/>
      <c r="B20" s="20" t="s">
        <v>19</v>
      </c>
      <c r="C20" s="21" t="s">
        <v>37</v>
      </c>
      <c r="D20" s="23"/>
      <c r="E20" s="23"/>
      <c r="F20" s="16">
        <f t="shared" si="10"/>
        <v>0</v>
      </c>
      <c r="G20" s="21">
        <v>1.0</v>
      </c>
      <c r="H20" s="21">
        <v>45.0</v>
      </c>
      <c r="I20" s="16">
        <f t="shared" si="11"/>
        <v>46</v>
      </c>
      <c r="J20" s="21">
        <v>0.0</v>
      </c>
      <c r="K20" s="21">
        <v>38.0</v>
      </c>
      <c r="L20" s="16">
        <f t="shared" si="12"/>
        <v>38</v>
      </c>
      <c r="M20" s="21">
        <v>5.0</v>
      </c>
      <c r="N20" s="21">
        <v>56.0</v>
      </c>
      <c r="O20" s="16">
        <f t="shared" si="13"/>
        <v>61</v>
      </c>
      <c r="P20" s="23"/>
      <c r="Q20" s="23"/>
      <c r="R20" s="16">
        <f t="shared" si="14"/>
        <v>0</v>
      </c>
      <c r="S20" s="23"/>
      <c r="T20" s="23"/>
      <c r="U20" s="16">
        <f t="shared" si="15"/>
        <v>0</v>
      </c>
    </row>
    <row r="21">
      <c r="A21" s="19"/>
      <c r="B21" s="20" t="s">
        <v>22</v>
      </c>
      <c r="C21" s="21" t="s">
        <v>38</v>
      </c>
      <c r="D21" s="23"/>
      <c r="E21" s="23"/>
      <c r="F21" s="16">
        <f t="shared" si="10"/>
        <v>0</v>
      </c>
      <c r="G21" s="21">
        <v>0.0</v>
      </c>
      <c r="H21" s="21">
        <v>0.0</v>
      </c>
      <c r="I21" s="16">
        <f t="shared" si="11"/>
        <v>0</v>
      </c>
      <c r="J21" s="23"/>
      <c r="K21" s="23"/>
      <c r="L21" s="16">
        <f t="shared" si="12"/>
        <v>0</v>
      </c>
      <c r="M21" s="21">
        <v>0.0</v>
      </c>
      <c r="N21" s="21">
        <v>0.0</v>
      </c>
      <c r="O21" s="16">
        <f t="shared" si="13"/>
        <v>0</v>
      </c>
      <c r="P21" s="23"/>
      <c r="Q21" s="23"/>
      <c r="R21" s="16">
        <f t="shared" si="14"/>
        <v>0</v>
      </c>
      <c r="S21" s="23"/>
      <c r="T21" s="23"/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3"/>
      <c r="E22" s="23"/>
      <c r="F22" s="16">
        <f t="shared" si="10"/>
        <v>0</v>
      </c>
      <c r="G22" s="21">
        <v>0.0</v>
      </c>
      <c r="H22" s="21">
        <v>0.0</v>
      </c>
      <c r="I22" s="16">
        <f t="shared" si="11"/>
        <v>0</v>
      </c>
      <c r="J22" s="23"/>
      <c r="K22" s="23"/>
      <c r="L22" s="16">
        <f t="shared" si="12"/>
        <v>0</v>
      </c>
      <c r="M22" s="21">
        <v>0.0</v>
      </c>
      <c r="N22" s="21">
        <v>0.0</v>
      </c>
      <c r="O22" s="16">
        <f t="shared" si="13"/>
        <v>0</v>
      </c>
      <c r="P22" s="23"/>
      <c r="Q22" s="23"/>
      <c r="R22" s="16">
        <f t="shared" si="14"/>
        <v>0</v>
      </c>
      <c r="S22" s="23"/>
      <c r="T22" s="23"/>
      <c r="U22" s="16">
        <f t="shared" si="15"/>
        <v>0</v>
      </c>
    </row>
    <row r="23">
      <c r="A23" s="19"/>
      <c r="B23" s="20" t="s">
        <v>27</v>
      </c>
      <c r="C23" s="21" t="s">
        <v>80</v>
      </c>
      <c r="D23" s="23"/>
      <c r="E23" s="23"/>
      <c r="F23" s="16">
        <f t="shared" si="10"/>
        <v>0</v>
      </c>
      <c r="G23" s="21">
        <v>0.0</v>
      </c>
      <c r="H23" s="21">
        <v>0.0</v>
      </c>
      <c r="I23" s="16">
        <f t="shared" si="11"/>
        <v>0</v>
      </c>
      <c r="J23" s="21">
        <v>0.0</v>
      </c>
      <c r="K23" s="21">
        <v>38.0</v>
      </c>
      <c r="L23" s="16">
        <f t="shared" si="12"/>
        <v>38</v>
      </c>
      <c r="M23" s="21">
        <v>0.0</v>
      </c>
      <c r="N23" s="21">
        <v>0.0</v>
      </c>
      <c r="O23" s="16">
        <f t="shared" si="13"/>
        <v>0</v>
      </c>
      <c r="P23" s="23"/>
      <c r="Q23" s="23"/>
      <c r="R23" s="16">
        <f t="shared" si="14"/>
        <v>0</v>
      </c>
      <c r="S23" s="23"/>
      <c r="T23" s="23"/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1">
        <v>0.0</v>
      </c>
      <c r="H24" s="21">
        <v>1.0</v>
      </c>
      <c r="I24" s="16">
        <f t="shared" si="11"/>
        <v>1</v>
      </c>
      <c r="J24" s="23"/>
      <c r="K24" s="23"/>
      <c r="L24" s="16">
        <f t="shared" si="12"/>
        <v>0</v>
      </c>
      <c r="M24" s="21">
        <v>2.0</v>
      </c>
      <c r="N24" s="21">
        <v>0.0</v>
      </c>
      <c r="O24" s="16">
        <f t="shared" si="13"/>
        <v>2</v>
      </c>
      <c r="P24" s="23"/>
      <c r="Q24" s="23"/>
      <c r="R24" s="16">
        <f t="shared" si="14"/>
        <v>0</v>
      </c>
      <c r="S24" s="23"/>
      <c r="T24" s="23"/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3"/>
      <c r="E25" s="23"/>
      <c r="F25" s="16">
        <f t="shared" si="10"/>
        <v>0</v>
      </c>
      <c r="G25" s="21">
        <v>0.0</v>
      </c>
      <c r="H25" s="21">
        <v>18.0</v>
      </c>
      <c r="I25" s="16">
        <f t="shared" si="11"/>
        <v>18</v>
      </c>
      <c r="J25" s="23"/>
      <c r="K25" s="23"/>
      <c r="L25" s="16">
        <f t="shared" si="12"/>
        <v>0</v>
      </c>
      <c r="M25" s="21">
        <v>0.0</v>
      </c>
      <c r="N25" s="21">
        <v>0.0</v>
      </c>
      <c r="O25" s="16">
        <f t="shared" si="13"/>
        <v>0</v>
      </c>
      <c r="P25" s="23"/>
      <c r="Q25" s="23"/>
      <c r="R25" s="16">
        <f t="shared" si="14"/>
        <v>0</v>
      </c>
      <c r="S25" s="23"/>
      <c r="T25" s="23"/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3"/>
      <c r="E26" s="23"/>
      <c r="F26" s="16">
        <f t="shared" si="10"/>
        <v>0</v>
      </c>
      <c r="G26" s="21">
        <v>16.0</v>
      </c>
      <c r="H26" s="21">
        <v>24.0</v>
      </c>
      <c r="I26" s="16">
        <f t="shared" si="11"/>
        <v>40</v>
      </c>
      <c r="J26" s="21">
        <v>0.0</v>
      </c>
      <c r="K26" s="21">
        <v>38.0</v>
      </c>
      <c r="L26" s="16">
        <f t="shared" si="12"/>
        <v>38</v>
      </c>
      <c r="M26" s="21">
        <v>18.0</v>
      </c>
      <c r="N26" s="21">
        <v>27.0</v>
      </c>
      <c r="O26" s="16">
        <f t="shared" si="13"/>
        <v>45</v>
      </c>
      <c r="P26" s="23"/>
      <c r="Q26" s="23"/>
      <c r="R26" s="16">
        <f t="shared" si="14"/>
        <v>0</v>
      </c>
      <c r="S26" s="23"/>
      <c r="T26" s="23"/>
      <c r="U26" s="16">
        <f t="shared" si="15"/>
        <v>0</v>
      </c>
    </row>
    <row r="27">
      <c r="A27" s="19"/>
      <c r="B27" s="20" t="s">
        <v>44</v>
      </c>
      <c r="C27" s="21" t="s">
        <v>45</v>
      </c>
      <c r="D27" s="23"/>
      <c r="E27" s="23"/>
      <c r="F27" s="16">
        <f t="shared" si="10"/>
        <v>0</v>
      </c>
      <c r="G27" s="21">
        <v>16.0</v>
      </c>
      <c r="H27" s="21">
        <v>54.0</v>
      </c>
      <c r="I27" s="16">
        <f t="shared" si="11"/>
        <v>70</v>
      </c>
      <c r="J27" s="21">
        <v>15.0</v>
      </c>
      <c r="K27" s="21">
        <v>56.0</v>
      </c>
      <c r="L27" s="16">
        <f t="shared" si="12"/>
        <v>71</v>
      </c>
      <c r="M27" s="21">
        <v>33.0</v>
      </c>
      <c r="N27" s="21">
        <v>102.0</v>
      </c>
      <c r="O27" s="16">
        <f t="shared" si="13"/>
        <v>135</v>
      </c>
      <c r="P27" s="23"/>
      <c r="Q27" s="23"/>
      <c r="R27" s="16">
        <f t="shared" si="14"/>
        <v>0</v>
      </c>
      <c r="S27" s="23"/>
      <c r="T27" s="23"/>
      <c r="U27" s="16">
        <f t="shared" si="15"/>
        <v>0</v>
      </c>
    </row>
    <row r="28">
      <c r="A28" s="19"/>
      <c r="B28" s="20" t="s">
        <v>46</v>
      </c>
      <c r="C28" s="21" t="s">
        <v>47</v>
      </c>
      <c r="D28" s="23"/>
      <c r="E28" s="23"/>
      <c r="F28" s="16">
        <f t="shared" si="10"/>
        <v>0</v>
      </c>
      <c r="G28" s="21">
        <v>13.0</v>
      </c>
      <c r="H28" s="21">
        <v>29.0</v>
      </c>
      <c r="I28" s="16">
        <f t="shared" si="11"/>
        <v>42</v>
      </c>
      <c r="J28" s="21">
        <v>8.0</v>
      </c>
      <c r="K28" s="21">
        <v>29.0</v>
      </c>
      <c r="L28" s="16">
        <f t="shared" si="12"/>
        <v>37</v>
      </c>
      <c r="M28" s="21">
        <v>2.0</v>
      </c>
      <c r="N28" s="21">
        <v>2.0</v>
      </c>
      <c r="O28" s="16">
        <f t="shared" si="13"/>
        <v>4</v>
      </c>
      <c r="P28" s="23"/>
      <c r="Q28" s="23"/>
      <c r="R28" s="16">
        <f t="shared" si="14"/>
        <v>0</v>
      </c>
      <c r="S28" s="23"/>
      <c r="T28" s="23"/>
      <c r="U28" s="16">
        <f t="shared" si="15"/>
        <v>0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1">
        <v>0.0</v>
      </c>
      <c r="H29" s="21">
        <v>0.0</v>
      </c>
      <c r="I29" s="16">
        <f t="shared" si="11"/>
        <v>0</v>
      </c>
      <c r="J29" s="23"/>
      <c r="K29" s="23"/>
      <c r="L29" s="16">
        <f t="shared" si="12"/>
        <v>0</v>
      </c>
      <c r="M29" s="21">
        <v>0.0</v>
      </c>
      <c r="N29" s="21">
        <v>0.0</v>
      </c>
      <c r="O29" s="16">
        <f t="shared" si="13"/>
        <v>0</v>
      </c>
      <c r="P29" s="23"/>
      <c r="Q29" s="23"/>
      <c r="R29" s="16">
        <f t="shared" si="14"/>
        <v>0</v>
      </c>
      <c r="S29" s="23"/>
      <c r="T29" s="23"/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3"/>
      <c r="E30" s="23"/>
      <c r="F30" s="16">
        <f t="shared" si="10"/>
        <v>0</v>
      </c>
      <c r="G30" s="21">
        <v>20.0</v>
      </c>
      <c r="H30" s="21">
        <v>37.0</v>
      </c>
      <c r="I30" s="16">
        <f t="shared" si="11"/>
        <v>57</v>
      </c>
      <c r="J30" s="21">
        <v>5.0</v>
      </c>
      <c r="K30" s="21">
        <v>13.0</v>
      </c>
      <c r="L30" s="16">
        <f t="shared" si="12"/>
        <v>18</v>
      </c>
      <c r="M30" s="21">
        <v>16.0</v>
      </c>
      <c r="N30" s="21">
        <v>22.0</v>
      </c>
      <c r="O30" s="16">
        <f t="shared" si="13"/>
        <v>38</v>
      </c>
      <c r="P30" s="23"/>
      <c r="Q30" s="23"/>
      <c r="R30" s="16">
        <f t="shared" si="14"/>
        <v>0</v>
      </c>
      <c r="S30" s="23"/>
      <c r="T30" s="23"/>
      <c r="U30" s="16">
        <f t="shared" si="15"/>
        <v>0</v>
      </c>
    </row>
    <row r="31">
      <c r="A31" s="19"/>
      <c r="B31" s="20" t="s">
        <v>52</v>
      </c>
      <c r="C31" s="21" t="s">
        <v>53</v>
      </c>
      <c r="D31" s="23"/>
      <c r="E31" s="23"/>
      <c r="F31" s="16">
        <f t="shared" si="10"/>
        <v>0</v>
      </c>
      <c r="G31" s="21">
        <v>0.0</v>
      </c>
      <c r="H31" s="21">
        <v>18.0</v>
      </c>
      <c r="I31" s="16">
        <f t="shared" si="11"/>
        <v>18</v>
      </c>
      <c r="J31" s="23"/>
      <c r="K31" s="23"/>
      <c r="L31" s="16">
        <f t="shared" si="12"/>
        <v>0</v>
      </c>
      <c r="M31" s="21">
        <v>0.0</v>
      </c>
      <c r="N31" s="21">
        <v>0.0</v>
      </c>
      <c r="O31" s="16">
        <f t="shared" si="13"/>
        <v>0</v>
      </c>
      <c r="P31" s="23"/>
      <c r="Q31" s="23"/>
      <c r="R31" s="16">
        <f t="shared" si="14"/>
        <v>0</v>
      </c>
      <c r="S31" s="23"/>
      <c r="T31" s="23"/>
      <c r="U31" s="16">
        <f t="shared" si="15"/>
        <v>0</v>
      </c>
    </row>
    <row r="32">
      <c r="A32" s="19"/>
      <c r="B32" s="20" t="s">
        <v>54</v>
      </c>
      <c r="C32" s="21" t="s">
        <v>55</v>
      </c>
      <c r="D32" s="23"/>
      <c r="E32" s="23"/>
      <c r="F32" s="16">
        <f t="shared" si="10"/>
        <v>0</v>
      </c>
      <c r="G32" s="21">
        <v>2.0</v>
      </c>
      <c r="H32" s="21">
        <v>30.0</v>
      </c>
      <c r="I32" s="16">
        <f t="shared" si="11"/>
        <v>32</v>
      </c>
      <c r="J32" s="21">
        <v>18.0</v>
      </c>
      <c r="K32" s="21">
        <v>57.0</v>
      </c>
      <c r="L32" s="16">
        <f t="shared" si="12"/>
        <v>75</v>
      </c>
      <c r="M32" s="21">
        <v>0.0</v>
      </c>
      <c r="N32" s="21">
        <v>14.0</v>
      </c>
      <c r="O32" s="16">
        <f t="shared" si="13"/>
        <v>14</v>
      </c>
      <c r="P32" s="23"/>
      <c r="Q32" s="23"/>
      <c r="R32" s="16">
        <f t="shared" si="14"/>
        <v>0</v>
      </c>
      <c r="S32" s="23"/>
      <c r="T32" s="23"/>
      <c r="U32" s="16">
        <f t="shared" si="15"/>
        <v>0</v>
      </c>
    </row>
    <row r="33">
      <c r="A33" s="19"/>
      <c r="B33" s="20" t="s">
        <v>56</v>
      </c>
      <c r="C33" s="21" t="s">
        <v>57</v>
      </c>
      <c r="D33" s="23"/>
      <c r="E33" s="23"/>
      <c r="F33" s="16">
        <f t="shared" si="10"/>
        <v>0</v>
      </c>
      <c r="G33" s="21">
        <v>1.0</v>
      </c>
      <c r="H33" s="21">
        <v>30.0</v>
      </c>
      <c r="I33" s="16">
        <f t="shared" si="11"/>
        <v>31</v>
      </c>
      <c r="J33" s="21">
        <v>1.0</v>
      </c>
      <c r="K33" s="21">
        <v>56.0</v>
      </c>
      <c r="L33" s="16">
        <f t="shared" si="12"/>
        <v>57</v>
      </c>
      <c r="M33" s="21">
        <v>0.0</v>
      </c>
      <c r="N33" s="21">
        <v>13.0</v>
      </c>
      <c r="O33" s="16">
        <f t="shared" si="13"/>
        <v>13</v>
      </c>
      <c r="P33" s="23"/>
      <c r="Q33" s="23"/>
      <c r="R33" s="16">
        <f t="shared" si="14"/>
        <v>0</v>
      </c>
      <c r="S33" s="23"/>
      <c r="T33" s="23"/>
      <c r="U33" s="16">
        <f t="shared" si="15"/>
        <v>0</v>
      </c>
    </row>
    <row r="34">
      <c r="A34" s="19"/>
      <c r="B34" s="20" t="s">
        <v>58</v>
      </c>
      <c r="C34" s="21" t="s">
        <v>59</v>
      </c>
      <c r="D34" s="23"/>
      <c r="E34" s="23"/>
      <c r="F34" s="16">
        <f t="shared" si="10"/>
        <v>0</v>
      </c>
      <c r="G34" s="21">
        <v>3.0</v>
      </c>
      <c r="H34" s="21">
        <v>30.0</v>
      </c>
      <c r="I34" s="16">
        <f t="shared" si="11"/>
        <v>33</v>
      </c>
      <c r="J34" s="21">
        <v>1.0</v>
      </c>
      <c r="K34" s="21">
        <v>30.0</v>
      </c>
      <c r="L34" s="16">
        <f t="shared" si="12"/>
        <v>31</v>
      </c>
      <c r="M34" s="21">
        <v>3.0</v>
      </c>
      <c r="N34" s="21">
        <v>16.0</v>
      </c>
      <c r="O34" s="16">
        <f t="shared" si="13"/>
        <v>19</v>
      </c>
      <c r="P34" s="23"/>
      <c r="Q34" s="23"/>
      <c r="R34" s="16">
        <f t="shared" si="14"/>
        <v>0</v>
      </c>
      <c r="S34" s="23"/>
      <c r="T34" s="23"/>
      <c r="U34" s="16">
        <f t="shared" si="15"/>
        <v>0</v>
      </c>
    </row>
    <row r="35">
      <c r="A35" s="19"/>
      <c r="B35" s="20" t="s">
        <v>60</v>
      </c>
      <c r="C35" s="21" t="s">
        <v>85</v>
      </c>
      <c r="D35" s="23"/>
      <c r="E35" s="23"/>
      <c r="F35" s="16">
        <f t="shared" si="10"/>
        <v>0</v>
      </c>
      <c r="G35" s="21">
        <v>0.0</v>
      </c>
      <c r="H35" s="21">
        <v>0.0</v>
      </c>
      <c r="I35" s="16">
        <f t="shared" si="11"/>
        <v>0</v>
      </c>
      <c r="J35" s="23"/>
      <c r="K35" s="23"/>
      <c r="L35" s="16">
        <f t="shared" si="12"/>
        <v>0</v>
      </c>
      <c r="M35" s="21">
        <v>2.0</v>
      </c>
      <c r="N35" s="21">
        <v>21.0</v>
      </c>
      <c r="O35" s="16">
        <f t="shared" si="13"/>
        <v>23</v>
      </c>
      <c r="P35" s="23"/>
      <c r="Q35" s="23"/>
      <c r="R35" s="16">
        <f t="shared" si="14"/>
        <v>0</v>
      </c>
      <c r="S35" s="23"/>
      <c r="T35" s="23"/>
      <c r="U35" s="16">
        <f t="shared" si="15"/>
        <v>0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1">
        <v>0.0</v>
      </c>
      <c r="H36" s="21">
        <v>0.0</v>
      </c>
      <c r="I36" s="16">
        <f t="shared" si="11"/>
        <v>0</v>
      </c>
      <c r="J36" s="23"/>
      <c r="K36" s="23"/>
      <c r="L36" s="16">
        <f t="shared" si="12"/>
        <v>0</v>
      </c>
      <c r="M36" s="21">
        <v>0.0</v>
      </c>
      <c r="N36" s="21">
        <v>0.0</v>
      </c>
      <c r="O36" s="16">
        <f t="shared" si="13"/>
        <v>0</v>
      </c>
      <c r="P36" s="23"/>
      <c r="Q36" s="23"/>
      <c r="R36" s="16">
        <f t="shared" si="14"/>
        <v>0</v>
      </c>
      <c r="S36" s="23"/>
      <c r="T36" s="23"/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1">
        <v>0.0</v>
      </c>
      <c r="H37" s="21">
        <v>0.0</v>
      </c>
      <c r="I37" s="16">
        <f t="shared" si="11"/>
        <v>0</v>
      </c>
      <c r="J37" s="23"/>
      <c r="K37" s="23"/>
      <c r="L37" s="16">
        <f t="shared" si="12"/>
        <v>0</v>
      </c>
      <c r="M37" s="21">
        <v>0.0</v>
      </c>
      <c r="N37" s="21">
        <v>0.0</v>
      </c>
      <c r="O37" s="16">
        <f t="shared" si="13"/>
        <v>0</v>
      </c>
      <c r="P37" s="23"/>
      <c r="Q37" s="23"/>
      <c r="R37" s="16">
        <f t="shared" si="14"/>
        <v>0</v>
      </c>
      <c r="S37" s="23"/>
      <c r="T37" s="23"/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3"/>
      <c r="F38" s="16">
        <f t="shared" si="10"/>
        <v>0</v>
      </c>
      <c r="G38" s="21">
        <v>0.0</v>
      </c>
      <c r="H38" s="21">
        <v>21.0</v>
      </c>
      <c r="I38" s="16">
        <f t="shared" si="11"/>
        <v>21</v>
      </c>
      <c r="J38" s="23"/>
      <c r="K38" s="23"/>
      <c r="L38" s="16">
        <f t="shared" si="12"/>
        <v>0</v>
      </c>
      <c r="M38" s="21">
        <v>0.0</v>
      </c>
      <c r="N38" s="21">
        <v>13.0</v>
      </c>
      <c r="O38" s="16">
        <f t="shared" si="13"/>
        <v>13</v>
      </c>
      <c r="P38" s="23"/>
      <c r="Q38" s="23"/>
      <c r="R38" s="16">
        <f t="shared" si="14"/>
        <v>0</v>
      </c>
      <c r="S38" s="23"/>
      <c r="T38" s="23"/>
      <c r="U38" s="16">
        <f t="shared" si="15"/>
        <v>0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1">
        <v>0.0</v>
      </c>
      <c r="H39" s="21">
        <v>0.0</v>
      </c>
      <c r="I39" s="16">
        <f t="shared" si="11"/>
        <v>0</v>
      </c>
      <c r="J39" s="23"/>
      <c r="K39" s="23"/>
      <c r="L39" s="16">
        <f t="shared" si="12"/>
        <v>0</v>
      </c>
      <c r="M39" s="21">
        <v>0.0</v>
      </c>
      <c r="N39" s="21">
        <v>0.0</v>
      </c>
      <c r="O39" s="16">
        <f t="shared" si="13"/>
        <v>0</v>
      </c>
      <c r="P39" s="23"/>
      <c r="Q39" s="23"/>
      <c r="R39" s="16">
        <f t="shared" si="14"/>
        <v>0</v>
      </c>
      <c r="S39" s="23"/>
      <c r="T39" s="23"/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1">
        <v>0.0</v>
      </c>
      <c r="H40" s="21">
        <v>0.0</v>
      </c>
      <c r="I40" s="16">
        <f t="shared" si="11"/>
        <v>0</v>
      </c>
      <c r="J40" s="23"/>
      <c r="K40" s="23"/>
      <c r="L40" s="16">
        <f t="shared" si="12"/>
        <v>0</v>
      </c>
      <c r="M40" s="21">
        <v>4.0</v>
      </c>
      <c r="N40" s="21">
        <v>19.0</v>
      </c>
      <c r="O40" s="16">
        <f t="shared" si="13"/>
        <v>23</v>
      </c>
      <c r="P40" s="23"/>
      <c r="Q40" s="23"/>
      <c r="R40" s="16">
        <f t="shared" si="14"/>
        <v>0</v>
      </c>
      <c r="S40" s="23"/>
      <c r="T40" s="23"/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1">
        <v>0.0</v>
      </c>
      <c r="H41" s="21">
        <v>0.0</v>
      </c>
      <c r="I41" s="16">
        <f t="shared" si="11"/>
        <v>0</v>
      </c>
      <c r="J41" s="23"/>
      <c r="K41" s="23"/>
      <c r="L41" s="16">
        <f t="shared" si="12"/>
        <v>0</v>
      </c>
      <c r="M41" s="21">
        <v>0.0</v>
      </c>
      <c r="N41" s="21">
        <v>0.0</v>
      </c>
      <c r="O41" s="16">
        <f t="shared" si="13"/>
        <v>0</v>
      </c>
      <c r="P41" s="23"/>
      <c r="Q41" s="23"/>
      <c r="R41" s="16">
        <f t="shared" si="14"/>
        <v>0</v>
      </c>
      <c r="S41" s="23"/>
      <c r="T41" s="23"/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88</v>
      </c>
      <c r="N46" s="16">
        <f t="shared" si="16"/>
        <v>190</v>
      </c>
      <c r="O46" s="16">
        <f t="shared" si="16"/>
        <v>278</v>
      </c>
      <c r="P46" s="16">
        <f t="shared" si="16"/>
        <v>35</v>
      </c>
      <c r="Q46" s="16">
        <f t="shared" si="16"/>
        <v>146</v>
      </c>
      <c r="R46" s="16">
        <f t="shared" si="16"/>
        <v>181</v>
      </c>
      <c r="S46" s="16">
        <f t="shared" si="16"/>
        <v>67</v>
      </c>
      <c r="T46" s="16">
        <f t="shared" si="16"/>
        <v>221</v>
      </c>
      <c r="U46" s="16">
        <f t="shared" si="16"/>
        <v>288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28</v>
      </c>
      <c r="N47" s="16">
        <f t="shared" si="17"/>
        <v>49</v>
      </c>
      <c r="O47" s="16">
        <f t="shared" si="17"/>
        <v>77</v>
      </c>
      <c r="P47" s="16">
        <f t="shared" si="17"/>
        <v>11</v>
      </c>
      <c r="Q47" s="16">
        <f t="shared" si="17"/>
        <v>34</v>
      </c>
      <c r="R47" s="16">
        <f t="shared" si="17"/>
        <v>45</v>
      </c>
      <c r="S47" s="16">
        <f t="shared" si="17"/>
        <v>19</v>
      </c>
      <c r="T47" s="16">
        <f t="shared" si="17"/>
        <v>45</v>
      </c>
      <c r="U47" s="16">
        <f t="shared" si="17"/>
        <v>64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1">
        <v>15.0</v>
      </c>
      <c r="N48" s="21">
        <v>25.0</v>
      </c>
      <c r="O48" s="16">
        <f t="shared" ref="O48:O55" si="21">SUM(M48:N48)</f>
        <v>40</v>
      </c>
      <c r="P48" s="21">
        <v>10.0</v>
      </c>
      <c r="Q48" s="21">
        <v>21.0</v>
      </c>
      <c r="R48" s="16">
        <f t="shared" ref="R48:R55" si="22">SUM(P48:Q48)</f>
        <v>31</v>
      </c>
      <c r="S48" s="21">
        <v>18.0</v>
      </c>
      <c r="T48" s="21">
        <v>34.0</v>
      </c>
      <c r="U48" s="16">
        <f t="shared" ref="U48:U55" si="23">SUM(S48:T48)</f>
        <v>52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1">
        <v>0.0</v>
      </c>
      <c r="N49" s="21">
        <v>13.0</v>
      </c>
      <c r="O49" s="16">
        <f t="shared" si="21"/>
        <v>13</v>
      </c>
      <c r="P49" s="21">
        <v>0.0</v>
      </c>
      <c r="Q49" s="21">
        <v>11.0</v>
      </c>
      <c r="R49" s="16">
        <f t="shared" si="22"/>
        <v>11</v>
      </c>
      <c r="S49" s="21">
        <v>1.0</v>
      </c>
      <c r="T49" s="21">
        <v>11.0</v>
      </c>
      <c r="U49" s="16">
        <f t="shared" si="23"/>
        <v>12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1">
        <v>1.0</v>
      </c>
      <c r="N50" s="21">
        <v>1.0</v>
      </c>
      <c r="O50" s="16">
        <f t="shared" si="21"/>
        <v>2</v>
      </c>
      <c r="P50" s="21">
        <v>0.0</v>
      </c>
      <c r="Q50" s="21">
        <v>0.0</v>
      </c>
      <c r="R50" s="16">
        <f t="shared" si="22"/>
        <v>0</v>
      </c>
      <c r="S50" s="23"/>
      <c r="T50" s="23"/>
      <c r="U50" s="16">
        <f t="shared" si="23"/>
        <v>0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1">
        <v>11.0</v>
      </c>
      <c r="N51" s="21">
        <v>9.0</v>
      </c>
      <c r="O51" s="16">
        <f t="shared" si="21"/>
        <v>20</v>
      </c>
      <c r="P51" s="21">
        <v>0.0</v>
      </c>
      <c r="Q51" s="21">
        <v>0.0</v>
      </c>
      <c r="R51" s="16">
        <f t="shared" si="22"/>
        <v>0</v>
      </c>
      <c r="S51" s="23"/>
      <c r="T51" s="23"/>
      <c r="U51" s="16">
        <f t="shared" si="23"/>
        <v>0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1">
        <v>1.0</v>
      </c>
      <c r="N52" s="21">
        <v>1.0</v>
      </c>
      <c r="O52" s="16">
        <f t="shared" si="21"/>
        <v>2</v>
      </c>
      <c r="P52" s="21">
        <v>1.0</v>
      </c>
      <c r="Q52" s="21">
        <v>1.0</v>
      </c>
      <c r="R52" s="16">
        <f t="shared" si="22"/>
        <v>2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1">
        <v>0.0</v>
      </c>
      <c r="N53" s="21">
        <v>0.0</v>
      </c>
      <c r="O53" s="16">
        <f t="shared" si="21"/>
        <v>0</v>
      </c>
      <c r="P53" s="21">
        <v>0.0</v>
      </c>
      <c r="Q53" s="21">
        <v>0.0</v>
      </c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1">
        <v>0.0</v>
      </c>
      <c r="N54" s="21">
        <v>0.0</v>
      </c>
      <c r="O54" s="16">
        <f t="shared" si="21"/>
        <v>0</v>
      </c>
      <c r="P54" s="21">
        <v>0.0</v>
      </c>
      <c r="Q54" s="21">
        <v>1.0</v>
      </c>
      <c r="R54" s="16">
        <f t="shared" si="22"/>
        <v>1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1">
        <v>0.0</v>
      </c>
      <c r="N55" s="21">
        <v>0.0</v>
      </c>
      <c r="O55" s="16">
        <f t="shared" si="21"/>
        <v>0</v>
      </c>
      <c r="P55" s="21">
        <v>0.0</v>
      </c>
      <c r="Q55" s="21">
        <v>0.0</v>
      </c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60</v>
      </c>
      <c r="N56" s="16">
        <f t="shared" si="24"/>
        <v>141</v>
      </c>
      <c r="O56" s="16">
        <f t="shared" si="24"/>
        <v>201</v>
      </c>
      <c r="P56" s="16">
        <f t="shared" si="24"/>
        <v>24</v>
      </c>
      <c r="Q56" s="16">
        <f t="shared" si="24"/>
        <v>112</v>
      </c>
      <c r="R56" s="16">
        <f t="shared" si="24"/>
        <v>136</v>
      </c>
      <c r="S56" s="16">
        <f t="shared" si="24"/>
        <v>48</v>
      </c>
      <c r="T56" s="16">
        <f t="shared" si="24"/>
        <v>176</v>
      </c>
      <c r="U56" s="16">
        <f t="shared" si="24"/>
        <v>224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1">
        <v>2.0</v>
      </c>
      <c r="N57" s="21">
        <v>2.0</v>
      </c>
      <c r="O57" s="16">
        <f t="shared" ref="O57:O79" si="28">SUM(M57:N57)</f>
        <v>4</v>
      </c>
      <c r="P57" s="21">
        <v>2.0</v>
      </c>
      <c r="Q57" s="21">
        <v>7.0</v>
      </c>
      <c r="R57" s="16">
        <f t="shared" ref="R57:R79" si="29">SUM(P57:Q57)</f>
        <v>9</v>
      </c>
      <c r="S57" s="23"/>
      <c r="T57" s="21">
        <v>9.0</v>
      </c>
      <c r="U57" s="16">
        <f t="shared" ref="U57:U79" si="30">SUM(S57:T57)</f>
        <v>9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1">
        <v>15.0</v>
      </c>
      <c r="N58" s="21">
        <v>19.0</v>
      </c>
      <c r="O58" s="16">
        <f t="shared" si="28"/>
        <v>34</v>
      </c>
      <c r="P58" s="21">
        <v>3.0</v>
      </c>
      <c r="Q58" s="21">
        <v>19.0</v>
      </c>
      <c r="R58" s="16">
        <f t="shared" si="29"/>
        <v>22</v>
      </c>
      <c r="S58" s="21">
        <v>3.0</v>
      </c>
      <c r="T58" s="21">
        <v>18.0</v>
      </c>
      <c r="U58" s="16">
        <f t="shared" si="30"/>
        <v>21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1">
        <v>0.0</v>
      </c>
      <c r="N59" s="21">
        <v>0.0</v>
      </c>
      <c r="O59" s="16">
        <f t="shared" si="28"/>
        <v>0</v>
      </c>
      <c r="P59" s="21">
        <v>0.0</v>
      </c>
      <c r="Q59" s="21">
        <v>0.0</v>
      </c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1">
        <v>0.0</v>
      </c>
      <c r="N60" s="21">
        <v>0.0</v>
      </c>
      <c r="O60" s="16">
        <f t="shared" si="28"/>
        <v>0</v>
      </c>
      <c r="P60" s="21">
        <v>0.0</v>
      </c>
      <c r="Q60" s="21">
        <v>0.0</v>
      </c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1">
        <v>0.0</v>
      </c>
      <c r="N61" s="21">
        <v>0.0</v>
      </c>
      <c r="O61" s="16">
        <f t="shared" si="28"/>
        <v>0</v>
      </c>
      <c r="P61" s="21">
        <v>3.0</v>
      </c>
      <c r="Q61" s="21">
        <v>0.0</v>
      </c>
      <c r="R61" s="16">
        <f t="shared" si="29"/>
        <v>3</v>
      </c>
      <c r="S61" s="21">
        <v>2.0</v>
      </c>
      <c r="T61" s="21">
        <v>13.0</v>
      </c>
      <c r="U61" s="16">
        <f t="shared" si="30"/>
        <v>15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1">
        <v>0.0</v>
      </c>
      <c r="N62" s="21">
        <v>0.0</v>
      </c>
      <c r="O62" s="16">
        <f t="shared" si="28"/>
        <v>0</v>
      </c>
      <c r="P62" s="21">
        <v>0.0</v>
      </c>
      <c r="Q62" s="21">
        <v>0.0</v>
      </c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1">
        <v>0.0</v>
      </c>
      <c r="N63" s="21">
        <v>0.0</v>
      </c>
      <c r="O63" s="16">
        <f t="shared" si="28"/>
        <v>0</v>
      </c>
      <c r="P63" s="21">
        <v>0.0</v>
      </c>
      <c r="Q63" s="21">
        <v>0.0</v>
      </c>
      <c r="R63" s="16">
        <f t="shared" si="29"/>
        <v>0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1">
        <v>15.0</v>
      </c>
      <c r="N64" s="21">
        <v>31.0</v>
      </c>
      <c r="O64" s="16">
        <f t="shared" si="28"/>
        <v>46</v>
      </c>
      <c r="P64" s="21">
        <v>5.0</v>
      </c>
      <c r="Q64" s="21">
        <v>10.0</v>
      </c>
      <c r="R64" s="16">
        <f t="shared" si="29"/>
        <v>15</v>
      </c>
      <c r="S64" s="21">
        <v>11.0</v>
      </c>
      <c r="T64" s="21">
        <v>24.0</v>
      </c>
      <c r="U64" s="16">
        <f t="shared" si="30"/>
        <v>35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1">
        <v>14.0</v>
      </c>
      <c r="N65" s="21">
        <v>30.0</v>
      </c>
      <c r="O65" s="16">
        <f t="shared" si="28"/>
        <v>44</v>
      </c>
      <c r="P65" s="21">
        <v>6.0</v>
      </c>
      <c r="Q65" s="21">
        <v>21.0</v>
      </c>
      <c r="R65" s="16">
        <f t="shared" si="29"/>
        <v>27</v>
      </c>
      <c r="S65" s="21">
        <v>12.0</v>
      </c>
      <c r="T65" s="21">
        <v>32.0</v>
      </c>
      <c r="U65" s="16">
        <f t="shared" si="30"/>
        <v>44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1">
        <v>0.0</v>
      </c>
      <c r="N66" s="21">
        <v>0.0</v>
      </c>
      <c r="O66" s="16">
        <f t="shared" si="28"/>
        <v>0</v>
      </c>
      <c r="P66" s="21">
        <v>0.0</v>
      </c>
      <c r="Q66" s="21">
        <v>4.0</v>
      </c>
      <c r="R66" s="16">
        <f t="shared" si="29"/>
        <v>4</v>
      </c>
      <c r="S66" s="21">
        <v>3.0</v>
      </c>
      <c r="T66" s="21">
        <v>5.0</v>
      </c>
      <c r="U66" s="16">
        <f t="shared" si="30"/>
        <v>8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1">
        <v>0.0</v>
      </c>
      <c r="N67" s="21">
        <v>0.0</v>
      </c>
      <c r="O67" s="16">
        <f t="shared" si="28"/>
        <v>0</v>
      </c>
      <c r="P67" s="23"/>
      <c r="Q67" s="23"/>
      <c r="R67" s="16">
        <f t="shared" si="29"/>
        <v>0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1">
        <v>14.0</v>
      </c>
      <c r="N68" s="21">
        <v>31.0</v>
      </c>
      <c r="O68" s="16">
        <f t="shared" si="28"/>
        <v>45</v>
      </c>
      <c r="P68" s="21">
        <v>5.0</v>
      </c>
      <c r="Q68" s="21">
        <v>12.0</v>
      </c>
      <c r="R68" s="16">
        <f t="shared" si="29"/>
        <v>17</v>
      </c>
      <c r="S68" s="21">
        <v>11.0</v>
      </c>
      <c r="T68" s="21">
        <v>25.0</v>
      </c>
      <c r="U68" s="16">
        <f t="shared" si="30"/>
        <v>36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1">
        <v>0.0</v>
      </c>
      <c r="N69" s="21">
        <v>1.0</v>
      </c>
      <c r="O69" s="16">
        <f t="shared" si="28"/>
        <v>1</v>
      </c>
      <c r="P69" s="21">
        <v>0.0</v>
      </c>
      <c r="Q69" s="21">
        <v>0.0</v>
      </c>
      <c r="R69" s="16">
        <f t="shared" si="29"/>
        <v>0</v>
      </c>
      <c r="S69" s="23"/>
      <c r="T69" s="21">
        <v>4.0</v>
      </c>
      <c r="U69" s="16">
        <f t="shared" si="30"/>
        <v>4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1">
        <v>0.0</v>
      </c>
      <c r="N70" s="21">
        <v>5.0</v>
      </c>
      <c r="O70" s="16">
        <f t="shared" si="28"/>
        <v>5</v>
      </c>
      <c r="P70" s="21">
        <v>0.0</v>
      </c>
      <c r="Q70" s="21">
        <v>9.0</v>
      </c>
      <c r="R70" s="16">
        <f t="shared" si="29"/>
        <v>9</v>
      </c>
      <c r="S70" s="21">
        <v>1.0</v>
      </c>
      <c r="T70" s="21">
        <v>10.0</v>
      </c>
      <c r="U70" s="16">
        <f t="shared" si="30"/>
        <v>11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1">
        <v>0.0</v>
      </c>
      <c r="N71" s="21">
        <v>5.0</v>
      </c>
      <c r="O71" s="16">
        <f t="shared" si="28"/>
        <v>5</v>
      </c>
      <c r="P71" s="21">
        <v>0.0</v>
      </c>
      <c r="Q71" s="21">
        <v>8.0</v>
      </c>
      <c r="R71" s="16">
        <f t="shared" si="29"/>
        <v>8</v>
      </c>
      <c r="S71" s="21">
        <v>2.0</v>
      </c>
      <c r="T71" s="21">
        <v>9.0</v>
      </c>
      <c r="U71" s="16">
        <f t="shared" si="30"/>
        <v>11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1">
        <v>0.0</v>
      </c>
      <c r="N72" s="21">
        <v>5.0</v>
      </c>
      <c r="O72" s="16">
        <f t="shared" si="28"/>
        <v>5</v>
      </c>
      <c r="P72" s="21">
        <v>0.0</v>
      </c>
      <c r="Q72" s="21">
        <v>8.0</v>
      </c>
      <c r="R72" s="16">
        <f t="shared" si="29"/>
        <v>8</v>
      </c>
      <c r="S72" s="21">
        <v>1.0</v>
      </c>
      <c r="T72" s="21">
        <v>10.0</v>
      </c>
      <c r="U72" s="16">
        <f t="shared" si="30"/>
        <v>11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1">
        <v>0.0</v>
      </c>
      <c r="N73" s="21">
        <v>3.0</v>
      </c>
      <c r="O73" s="16">
        <f t="shared" si="28"/>
        <v>3</v>
      </c>
      <c r="P73" s="21">
        <v>0.0</v>
      </c>
      <c r="Q73" s="21">
        <v>9.0</v>
      </c>
      <c r="R73" s="16">
        <f t="shared" si="29"/>
        <v>9</v>
      </c>
      <c r="S73" s="21">
        <v>2.0</v>
      </c>
      <c r="T73" s="21">
        <v>9.0</v>
      </c>
      <c r="U73" s="16">
        <f t="shared" si="30"/>
        <v>11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1">
        <v>0.0</v>
      </c>
      <c r="N74" s="21">
        <v>0.0</v>
      </c>
      <c r="O74" s="16">
        <f t="shared" si="28"/>
        <v>0</v>
      </c>
      <c r="P74" s="21">
        <v>0.0</v>
      </c>
      <c r="Q74" s="21">
        <v>0.0</v>
      </c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1">
        <v>0.0</v>
      </c>
      <c r="N75" s="21">
        <v>0.0</v>
      </c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1">
        <v>0.0</v>
      </c>
      <c r="N76" s="21">
        <v>8.0</v>
      </c>
      <c r="O76" s="16">
        <f t="shared" si="28"/>
        <v>8</v>
      </c>
      <c r="P76" s="21">
        <v>0.0</v>
      </c>
      <c r="Q76" s="21">
        <v>4.0</v>
      </c>
      <c r="R76" s="16">
        <f t="shared" si="29"/>
        <v>4</v>
      </c>
      <c r="S76" s="23"/>
      <c r="T76" s="21">
        <v>8.0</v>
      </c>
      <c r="U76" s="16">
        <f t="shared" si="30"/>
        <v>8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1">
        <v>0.0</v>
      </c>
      <c r="N77" s="21">
        <v>0.0</v>
      </c>
      <c r="O77" s="16">
        <f t="shared" si="28"/>
        <v>0</v>
      </c>
      <c r="P77" s="21">
        <v>0.0</v>
      </c>
      <c r="Q77" s="21">
        <v>0.0</v>
      </c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1">
        <v>0.0</v>
      </c>
      <c r="N78" s="21">
        <v>1.0</v>
      </c>
      <c r="O78" s="16">
        <f t="shared" si="28"/>
        <v>1</v>
      </c>
      <c r="P78" s="21">
        <v>0.0</v>
      </c>
      <c r="Q78" s="21">
        <v>0.0</v>
      </c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1">
        <v>0.0</v>
      </c>
      <c r="N79" s="21">
        <v>0.0</v>
      </c>
      <c r="O79" s="16">
        <f t="shared" si="28"/>
        <v>0</v>
      </c>
      <c r="P79" s="21">
        <v>0.0</v>
      </c>
      <c r="Q79" s="21">
        <v>1.0</v>
      </c>
      <c r="R79" s="16">
        <f t="shared" si="29"/>
        <v>1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83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0</v>
      </c>
      <c r="E8" s="16">
        <f t="shared" si="1"/>
        <v>0</v>
      </c>
      <c r="F8" s="16">
        <f t="shared" si="1"/>
        <v>0</v>
      </c>
      <c r="G8" s="16">
        <f t="shared" si="1"/>
        <v>0</v>
      </c>
      <c r="H8" s="16">
        <f t="shared" si="1"/>
        <v>0</v>
      </c>
      <c r="I8" s="16">
        <f t="shared" si="1"/>
        <v>0</v>
      </c>
      <c r="J8" s="16">
        <f t="shared" si="1"/>
        <v>0</v>
      </c>
      <c r="K8" s="16">
        <f t="shared" si="1"/>
        <v>0</v>
      </c>
      <c r="L8" s="16">
        <f t="shared" si="1"/>
        <v>0</v>
      </c>
      <c r="M8" s="16">
        <f t="shared" si="1"/>
        <v>0</v>
      </c>
      <c r="N8" s="16">
        <f t="shared" si="1"/>
        <v>0</v>
      </c>
      <c r="O8" s="16">
        <f t="shared" si="1"/>
        <v>0</v>
      </c>
      <c r="P8" s="16">
        <f t="shared" si="1"/>
        <v>0</v>
      </c>
      <c r="Q8" s="16">
        <f t="shared" si="1"/>
        <v>0</v>
      </c>
      <c r="R8" s="16">
        <f t="shared" si="1"/>
        <v>0</v>
      </c>
      <c r="S8" s="16">
        <f t="shared" si="1"/>
        <v>0</v>
      </c>
      <c r="T8" s="16">
        <f t="shared" si="1"/>
        <v>0</v>
      </c>
      <c r="U8" s="16">
        <f t="shared" si="1"/>
        <v>0</v>
      </c>
    </row>
    <row r="9">
      <c r="A9" s="17">
        <v>2.0</v>
      </c>
      <c r="B9" s="18" t="s">
        <v>15</v>
      </c>
      <c r="C9" s="9"/>
      <c r="D9" s="16">
        <f t="shared" ref="D9:U9" si="2">SUM(D10:D17)</f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</row>
    <row r="10">
      <c r="A10" s="19"/>
      <c r="B10" s="20" t="s">
        <v>16</v>
      </c>
      <c r="C10" s="21" t="s">
        <v>17</v>
      </c>
      <c r="D10" s="23"/>
      <c r="E10" s="23"/>
      <c r="F10" s="16">
        <f t="shared" ref="F10:F17" si="3">SUM(D10:E10)</f>
        <v>0</v>
      </c>
      <c r="G10" s="23"/>
      <c r="H10" s="23"/>
      <c r="I10" s="16">
        <f t="shared" ref="I10:I17" si="4">SUM(G10:H10)</f>
        <v>0</v>
      </c>
      <c r="J10" s="23"/>
      <c r="K10" s="23"/>
      <c r="L10" s="16">
        <f t="shared" ref="L10:L17" si="5">SUM(J10:K10)</f>
        <v>0</v>
      </c>
      <c r="M10" s="23"/>
      <c r="N10" s="23"/>
      <c r="O10" s="16">
        <f t="shared" ref="O10:O17" si="6">SUM(M10:N10)</f>
        <v>0</v>
      </c>
      <c r="P10" s="23"/>
      <c r="Q10" s="23"/>
      <c r="R10" s="16">
        <f t="shared" ref="R10:R17" si="7">SUM(P10:Q10)</f>
        <v>0</v>
      </c>
      <c r="S10" s="23"/>
      <c r="T10" s="23"/>
      <c r="U10" s="16">
        <f t="shared" ref="U10:U17" si="8">SUM(S10:T10)</f>
        <v>0</v>
      </c>
    </row>
    <row r="11">
      <c r="A11" s="19"/>
      <c r="B11" s="20" t="s">
        <v>19</v>
      </c>
      <c r="C11" s="21" t="s">
        <v>20</v>
      </c>
      <c r="D11" s="23"/>
      <c r="E11" s="23"/>
      <c r="F11" s="16">
        <f t="shared" si="3"/>
        <v>0</v>
      </c>
      <c r="G11" s="23"/>
      <c r="H11" s="23"/>
      <c r="I11" s="16">
        <f t="shared" si="4"/>
        <v>0</v>
      </c>
      <c r="J11" s="23"/>
      <c r="K11" s="23"/>
      <c r="L11" s="16">
        <f t="shared" si="5"/>
        <v>0</v>
      </c>
      <c r="M11" s="23"/>
      <c r="N11" s="23"/>
      <c r="O11" s="16">
        <f t="shared" si="6"/>
        <v>0</v>
      </c>
      <c r="P11" s="23"/>
      <c r="Q11" s="23"/>
      <c r="R11" s="16">
        <f t="shared" si="7"/>
        <v>0</v>
      </c>
      <c r="S11" s="23"/>
      <c r="T11" s="23"/>
      <c r="U11" s="16">
        <f t="shared" si="8"/>
        <v>0</v>
      </c>
    </row>
    <row r="12">
      <c r="A12" s="19"/>
      <c r="B12" s="20" t="s">
        <v>22</v>
      </c>
      <c r="C12" s="21" t="s">
        <v>23</v>
      </c>
      <c r="D12" s="23"/>
      <c r="E12" s="23"/>
      <c r="F12" s="16">
        <f t="shared" si="3"/>
        <v>0</v>
      </c>
      <c r="G12" s="23"/>
      <c r="H12" s="23"/>
      <c r="I12" s="16">
        <f t="shared" si="4"/>
        <v>0</v>
      </c>
      <c r="J12" s="23"/>
      <c r="K12" s="23"/>
      <c r="L12" s="16">
        <f t="shared" si="5"/>
        <v>0</v>
      </c>
      <c r="M12" s="23"/>
      <c r="N12" s="23"/>
      <c r="O12" s="16">
        <f t="shared" si="6"/>
        <v>0</v>
      </c>
      <c r="P12" s="23"/>
      <c r="Q12" s="23"/>
      <c r="R12" s="16">
        <f t="shared" si="7"/>
        <v>0</v>
      </c>
      <c r="S12" s="23"/>
      <c r="T12" s="23"/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3"/>
      <c r="E13" s="23"/>
      <c r="F13" s="16">
        <f t="shared" si="3"/>
        <v>0</v>
      </c>
      <c r="G13" s="23"/>
      <c r="H13" s="23"/>
      <c r="I13" s="16">
        <f t="shared" si="4"/>
        <v>0</v>
      </c>
      <c r="J13" s="23"/>
      <c r="K13" s="23"/>
      <c r="L13" s="16">
        <f t="shared" si="5"/>
        <v>0</v>
      </c>
      <c r="M13" s="23"/>
      <c r="N13" s="23"/>
      <c r="O13" s="16">
        <f t="shared" si="6"/>
        <v>0</v>
      </c>
      <c r="P13" s="23"/>
      <c r="Q13" s="23"/>
      <c r="R13" s="16">
        <f t="shared" si="7"/>
        <v>0</v>
      </c>
      <c r="S13" s="23"/>
      <c r="T13" s="23"/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3"/>
      <c r="E14" s="23"/>
      <c r="F14" s="16">
        <f t="shared" si="3"/>
        <v>0</v>
      </c>
      <c r="G14" s="23"/>
      <c r="H14" s="23"/>
      <c r="I14" s="16">
        <f t="shared" si="4"/>
        <v>0</v>
      </c>
      <c r="J14" s="23"/>
      <c r="K14" s="23"/>
      <c r="L14" s="16">
        <f t="shared" si="5"/>
        <v>0</v>
      </c>
      <c r="M14" s="23"/>
      <c r="N14" s="23"/>
      <c r="O14" s="16">
        <f t="shared" si="6"/>
        <v>0</v>
      </c>
      <c r="P14" s="23"/>
      <c r="Q14" s="23"/>
      <c r="R14" s="16">
        <f t="shared" si="7"/>
        <v>0</v>
      </c>
      <c r="S14" s="23"/>
      <c r="T14" s="23"/>
      <c r="U14" s="16">
        <f t="shared" si="8"/>
        <v>0</v>
      </c>
    </row>
    <row r="15">
      <c r="A15" s="19"/>
      <c r="B15" s="20" t="s">
        <v>29</v>
      </c>
      <c r="C15" s="21" t="s">
        <v>30</v>
      </c>
      <c r="D15" s="23"/>
      <c r="E15" s="23"/>
      <c r="F15" s="16">
        <f t="shared" si="3"/>
        <v>0</v>
      </c>
      <c r="G15" s="23"/>
      <c r="H15" s="23"/>
      <c r="I15" s="16">
        <f t="shared" si="4"/>
        <v>0</v>
      </c>
      <c r="J15" s="23"/>
      <c r="K15" s="23"/>
      <c r="L15" s="16">
        <f t="shared" si="5"/>
        <v>0</v>
      </c>
      <c r="M15" s="23"/>
      <c r="N15" s="23"/>
      <c r="O15" s="16">
        <f t="shared" si="6"/>
        <v>0</v>
      </c>
      <c r="P15" s="23"/>
      <c r="Q15" s="23"/>
      <c r="R15" s="16">
        <f t="shared" si="7"/>
        <v>0</v>
      </c>
      <c r="S15" s="23"/>
      <c r="T15" s="23"/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3"/>
      <c r="E16" s="23"/>
      <c r="F16" s="16">
        <f t="shared" si="3"/>
        <v>0</v>
      </c>
      <c r="G16" s="23"/>
      <c r="H16" s="23"/>
      <c r="I16" s="16">
        <f t="shared" si="4"/>
        <v>0</v>
      </c>
      <c r="J16" s="23"/>
      <c r="K16" s="23"/>
      <c r="L16" s="16">
        <f t="shared" si="5"/>
        <v>0</v>
      </c>
      <c r="M16" s="23"/>
      <c r="N16" s="23"/>
      <c r="O16" s="16">
        <f t="shared" si="6"/>
        <v>0</v>
      </c>
      <c r="P16" s="23"/>
      <c r="Q16" s="23"/>
      <c r="R16" s="16">
        <f t="shared" si="7"/>
        <v>0</v>
      </c>
      <c r="S16" s="23"/>
      <c r="T16" s="23"/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3"/>
      <c r="E17" s="23"/>
      <c r="F17" s="16">
        <f t="shared" si="3"/>
        <v>0</v>
      </c>
      <c r="G17" s="23"/>
      <c r="H17" s="23"/>
      <c r="I17" s="16">
        <f t="shared" si="4"/>
        <v>0</v>
      </c>
      <c r="J17" s="23"/>
      <c r="K17" s="23"/>
      <c r="L17" s="16">
        <f t="shared" si="5"/>
        <v>0</v>
      </c>
      <c r="M17" s="23"/>
      <c r="N17" s="23"/>
      <c r="O17" s="16">
        <f t="shared" si="6"/>
        <v>0</v>
      </c>
      <c r="P17" s="23"/>
      <c r="Q17" s="23"/>
      <c r="R17" s="16">
        <f t="shared" si="7"/>
        <v>0</v>
      </c>
      <c r="S17" s="23"/>
      <c r="T17" s="23"/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0</v>
      </c>
      <c r="E18" s="16">
        <f t="shared" si="9"/>
        <v>0</v>
      </c>
      <c r="F18" s="16">
        <f t="shared" si="9"/>
        <v>0</v>
      </c>
      <c r="G18" s="16">
        <f t="shared" si="9"/>
        <v>0</v>
      </c>
      <c r="H18" s="16">
        <f t="shared" si="9"/>
        <v>0</v>
      </c>
      <c r="I18" s="16">
        <f t="shared" si="9"/>
        <v>0</v>
      </c>
      <c r="J18" s="16">
        <f t="shared" si="9"/>
        <v>0</v>
      </c>
      <c r="K18" s="16">
        <f t="shared" si="9"/>
        <v>0</v>
      </c>
      <c r="L18" s="16">
        <f t="shared" si="9"/>
        <v>0</v>
      </c>
      <c r="M18" s="16">
        <f t="shared" si="9"/>
        <v>0</v>
      </c>
      <c r="N18" s="16">
        <f t="shared" si="9"/>
        <v>0</v>
      </c>
      <c r="O18" s="16">
        <f t="shared" si="9"/>
        <v>0</v>
      </c>
      <c r="P18" s="16">
        <f t="shared" si="9"/>
        <v>0</v>
      </c>
      <c r="Q18" s="16">
        <f t="shared" si="9"/>
        <v>0</v>
      </c>
      <c r="R18" s="16">
        <f t="shared" si="9"/>
        <v>0</v>
      </c>
      <c r="S18" s="16">
        <f t="shared" si="9"/>
        <v>0</v>
      </c>
      <c r="T18" s="16">
        <f t="shared" si="9"/>
        <v>0</v>
      </c>
      <c r="U18" s="16">
        <f t="shared" si="9"/>
        <v>0</v>
      </c>
    </row>
    <row r="19">
      <c r="A19" s="19"/>
      <c r="B19" s="20" t="s">
        <v>16</v>
      </c>
      <c r="C19" s="21" t="s">
        <v>36</v>
      </c>
      <c r="D19" s="23"/>
      <c r="E19" s="23"/>
      <c r="F19" s="16">
        <f t="shared" ref="F19:F41" si="10">SUM(D19:E19)</f>
        <v>0</v>
      </c>
      <c r="G19" s="23"/>
      <c r="H19" s="23"/>
      <c r="I19" s="16">
        <f t="shared" ref="I19:I41" si="11">SUM(G19:H19)</f>
        <v>0</v>
      </c>
      <c r="J19" s="23"/>
      <c r="K19" s="23"/>
      <c r="L19" s="16">
        <f t="shared" ref="L19:L41" si="12">SUM(J19:K19)</f>
        <v>0</v>
      </c>
      <c r="M19" s="23"/>
      <c r="N19" s="23"/>
      <c r="O19" s="16">
        <f t="shared" ref="O19:O41" si="13">SUM(M19:N19)</f>
        <v>0</v>
      </c>
      <c r="P19" s="23"/>
      <c r="Q19" s="23"/>
      <c r="R19" s="16">
        <f t="shared" ref="R19:R41" si="14">SUM(P19:Q19)</f>
        <v>0</v>
      </c>
      <c r="S19" s="23"/>
      <c r="T19" s="23"/>
      <c r="U19" s="16">
        <f t="shared" ref="U19:U41" si="15">SUM(S19:T19)</f>
        <v>0</v>
      </c>
    </row>
    <row r="20">
      <c r="A20" s="19"/>
      <c r="B20" s="20" t="s">
        <v>19</v>
      </c>
      <c r="C20" s="21" t="s">
        <v>37</v>
      </c>
      <c r="D20" s="23"/>
      <c r="E20" s="23"/>
      <c r="F20" s="16">
        <f t="shared" si="10"/>
        <v>0</v>
      </c>
      <c r="G20" s="23"/>
      <c r="H20" s="23"/>
      <c r="I20" s="16">
        <f t="shared" si="11"/>
        <v>0</v>
      </c>
      <c r="J20" s="23"/>
      <c r="K20" s="23"/>
      <c r="L20" s="16">
        <f t="shared" si="12"/>
        <v>0</v>
      </c>
      <c r="M20" s="23"/>
      <c r="N20" s="23"/>
      <c r="O20" s="16">
        <f t="shared" si="13"/>
        <v>0</v>
      </c>
      <c r="P20" s="23"/>
      <c r="Q20" s="23"/>
      <c r="R20" s="16">
        <f t="shared" si="14"/>
        <v>0</v>
      </c>
      <c r="S20" s="23"/>
      <c r="T20" s="23"/>
      <c r="U20" s="16">
        <f t="shared" si="15"/>
        <v>0</v>
      </c>
    </row>
    <row r="21">
      <c r="A21" s="19"/>
      <c r="B21" s="20" t="s">
        <v>22</v>
      </c>
      <c r="C21" s="21" t="s">
        <v>38</v>
      </c>
      <c r="D21" s="23"/>
      <c r="E21" s="23"/>
      <c r="F21" s="16">
        <f t="shared" si="10"/>
        <v>0</v>
      </c>
      <c r="G21" s="23"/>
      <c r="H21" s="23"/>
      <c r="I21" s="16">
        <f t="shared" si="11"/>
        <v>0</v>
      </c>
      <c r="J21" s="23"/>
      <c r="K21" s="23"/>
      <c r="L21" s="16">
        <f t="shared" si="12"/>
        <v>0</v>
      </c>
      <c r="M21" s="23"/>
      <c r="N21" s="23"/>
      <c r="O21" s="16">
        <f t="shared" si="13"/>
        <v>0</v>
      </c>
      <c r="P21" s="23"/>
      <c r="Q21" s="23"/>
      <c r="R21" s="16">
        <f t="shared" si="14"/>
        <v>0</v>
      </c>
      <c r="S21" s="23"/>
      <c r="T21" s="23"/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3"/>
      <c r="E22" s="23"/>
      <c r="F22" s="16">
        <f t="shared" si="10"/>
        <v>0</v>
      </c>
      <c r="G22" s="23"/>
      <c r="H22" s="23"/>
      <c r="I22" s="16">
        <f t="shared" si="11"/>
        <v>0</v>
      </c>
      <c r="J22" s="23"/>
      <c r="K22" s="23"/>
      <c r="L22" s="16">
        <f t="shared" si="12"/>
        <v>0</v>
      </c>
      <c r="M22" s="23"/>
      <c r="N22" s="23"/>
      <c r="O22" s="16">
        <f t="shared" si="13"/>
        <v>0</v>
      </c>
      <c r="P22" s="23"/>
      <c r="Q22" s="23"/>
      <c r="R22" s="16">
        <f t="shared" si="14"/>
        <v>0</v>
      </c>
      <c r="S22" s="23"/>
      <c r="T22" s="23"/>
      <c r="U22" s="16">
        <f t="shared" si="15"/>
        <v>0</v>
      </c>
    </row>
    <row r="23">
      <c r="A23" s="19"/>
      <c r="B23" s="20" t="s">
        <v>27</v>
      </c>
      <c r="C23" s="21" t="s">
        <v>80</v>
      </c>
      <c r="D23" s="23"/>
      <c r="E23" s="23"/>
      <c r="F23" s="16">
        <f t="shared" si="10"/>
        <v>0</v>
      </c>
      <c r="G23" s="23"/>
      <c r="H23" s="23"/>
      <c r="I23" s="16">
        <f t="shared" si="11"/>
        <v>0</v>
      </c>
      <c r="J23" s="23"/>
      <c r="K23" s="23"/>
      <c r="L23" s="16">
        <f t="shared" si="12"/>
        <v>0</v>
      </c>
      <c r="M23" s="23"/>
      <c r="N23" s="23"/>
      <c r="O23" s="16">
        <f t="shared" si="13"/>
        <v>0</v>
      </c>
      <c r="P23" s="23"/>
      <c r="Q23" s="23"/>
      <c r="R23" s="16">
        <f t="shared" si="14"/>
        <v>0</v>
      </c>
      <c r="S23" s="23"/>
      <c r="T23" s="23"/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3"/>
      <c r="H24" s="23"/>
      <c r="I24" s="16">
        <f t="shared" si="11"/>
        <v>0</v>
      </c>
      <c r="J24" s="23"/>
      <c r="K24" s="23"/>
      <c r="L24" s="16">
        <f t="shared" si="12"/>
        <v>0</v>
      </c>
      <c r="M24" s="23"/>
      <c r="N24" s="23"/>
      <c r="O24" s="16">
        <f t="shared" si="13"/>
        <v>0</v>
      </c>
      <c r="P24" s="23"/>
      <c r="Q24" s="23"/>
      <c r="R24" s="16">
        <f t="shared" si="14"/>
        <v>0</v>
      </c>
      <c r="S24" s="23"/>
      <c r="T24" s="23"/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3"/>
      <c r="E25" s="23"/>
      <c r="F25" s="16">
        <f t="shared" si="10"/>
        <v>0</v>
      </c>
      <c r="G25" s="23"/>
      <c r="H25" s="23"/>
      <c r="I25" s="16">
        <f t="shared" si="11"/>
        <v>0</v>
      </c>
      <c r="J25" s="23"/>
      <c r="K25" s="23"/>
      <c r="L25" s="16">
        <f t="shared" si="12"/>
        <v>0</v>
      </c>
      <c r="M25" s="23"/>
      <c r="N25" s="23"/>
      <c r="O25" s="16">
        <f t="shared" si="13"/>
        <v>0</v>
      </c>
      <c r="P25" s="23"/>
      <c r="Q25" s="23"/>
      <c r="R25" s="16">
        <f t="shared" si="14"/>
        <v>0</v>
      </c>
      <c r="S25" s="23"/>
      <c r="T25" s="23"/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3"/>
      <c r="E26" s="23"/>
      <c r="F26" s="16">
        <f t="shared" si="10"/>
        <v>0</v>
      </c>
      <c r="G26" s="23"/>
      <c r="H26" s="23"/>
      <c r="I26" s="16">
        <f t="shared" si="11"/>
        <v>0</v>
      </c>
      <c r="J26" s="23"/>
      <c r="K26" s="23"/>
      <c r="L26" s="16">
        <f t="shared" si="12"/>
        <v>0</v>
      </c>
      <c r="M26" s="23"/>
      <c r="N26" s="23"/>
      <c r="O26" s="16">
        <f t="shared" si="13"/>
        <v>0</v>
      </c>
      <c r="P26" s="23"/>
      <c r="Q26" s="23"/>
      <c r="R26" s="16">
        <f t="shared" si="14"/>
        <v>0</v>
      </c>
      <c r="S26" s="23"/>
      <c r="T26" s="23"/>
      <c r="U26" s="16">
        <f t="shared" si="15"/>
        <v>0</v>
      </c>
    </row>
    <row r="27">
      <c r="A27" s="19"/>
      <c r="B27" s="20" t="s">
        <v>44</v>
      </c>
      <c r="C27" s="21" t="s">
        <v>45</v>
      </c>
      <c r="D27" s="23"/>
      <c r="E27" s="23"/>
      <c r="F27" s="16">
        <f t="shared" si="10"/>
        <v>0</v>
      </c>
      <c r="G27" s="23"/>
      <c r="H27" s="23"/>
      <c r="I27" s="16">
        <f t="shared" si="11"/>
        <v>0</v>
      </c>
      <c r="J27" s="23"/>
      <c r="K27" s="23"/>
      <c r="L27" s="16">
        <f t="shared" si="12"/>
        <v>0</v>
      </c>
      <c r="M27" s="23"/>
      <c r="N27" s="23"/>
      <c r="O27" s="16">
        <f t="shared" si="13"/>
        <v>0</v>
      </c>
      <c r="P27" s="23"/>
      <c r="Q27" s="23"/>
      <c r="R27" s="16">
        <f t="shared" si="14"/>
        <v>0</v>
      </c>
      <c r="S27" s="23"/>
      <c r="T27" s="23"/>
      <c r="U27" s="16">
        <f t="shared" si="15"/>
        <v>0</v>
      </c>
    </row>
    <row r="28">
      <c r="A28" s="19"/>
      <c r="B28" s="20" t="s">
        <v>46</v>
      </c>
      <c r="C28" s="21" t="s">
        <v>47</v>
      </c>
      <c r="D28" s="23"/>
      <c r="E28" s="23"/>
      <c r="F28" s="16">
        <f t="shared" si="10"/>
        <v>0</v>
      </c>
      <c r="G28" s="23"/>
      <c r="H28" s="23"/>
      <c r="I28" s="16">
        <f t="shared" si="11"/>
        <v>0</v>
      </c>
      <c r="J28" s="23"/>
      <c r="K28" s="23"/>
      <c r="L28" s="16">
        <f t="shared" si="12"/>
        <v>0</v>
      </c>
      <c r="M28" s="23"/>
      <c r="N28" s="23"/>
      <c r="O28" s="16">
        <f t="shared" si="13"/>
        <v>0</v>
      </c>
      <c r="P28" s="23"/>
      <c r="Q28" s="23"/>
      <c r="R28" s="16">
        <f t="shared" si="14"/>
        <v>0</v>
      </c>
      <c r="S28" s="23"/>
      <c r="T28" s="23"/>
      <c r="U28" s="16">
        <f t="shared" si="15"/>
        <v>0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3"/>
      <c r="H29" s="23"/>
      <c r="I29" s="16">
        <f t="shared" si="11"/>
        <v>0</v>
      </c>
      <c r="J29" s="23"/>
      <c r="K29" s="23"/>
      <c r="L29" s="16">
        <f t="shared" si="12"/>
        <v>0</v>
      </c>
      <c r="M29" s="23"/>
      <c r="N29" s="23"/>
      <c r="O29" s="16">
        <f t="shared" si="13"/>
        <v>0</v>
      </c>
      <c r="P29" s="23"/>
      <c r="Q29" s="23"/>
      <c r="R29" s="16">
        <f t="shared" si="14"/>
        <v>0</v>
      </c>
      <c r="S29" s="23"/>
      <c r="T29" s="23"/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3"/>
      <c r="E30" s="23"/>
      <c r="F30" s="16">
        <f t="shared" si="10"/>
        <v>0</v>
      </c>
      <c r="G30" s="23"/>
      <c r="H30" s="23"/>
      <c r="I30" s="16">
        <f t="shared" si="11"/>
        <v>0</v>
      </c>
      <c r="J30" s="23"/>
      <c r="K30" s="23"/>
      <c r="L30" s="16">
        <f t="shared" si="12"/>
        <v>0</v>
      </c>
      <c r="M30" s="23"/>
      <c r="N30" s="23"/>
      <c r="O30" s="16">
        <f t="shared" si="13"/>
        <v>0</v>
      </c>
      <c r="P30" s="23"/>
      <c r="Q30" s="23"/>
      <c r="R30" s="16">
        <f t="shared" si="14"/>
        <v>0</v>
      </c>
      <c r="S30" s="23"/>
      <c r="T30" s="23"/>
      <c r="U30" s="16">
        <f t="shared" si="15"/>
        <v>0</v>
      </c>
    </row>
    <row r="31">
      <c r="A31" s="19"/>
      <c r="B31" s="20" t="s">
        <v>52</v>
      </c>
      <c r="C31" s="21" t="s">
        <v>53</v>
      </c>
      <c r="D31" s="23"/>
      <c r="E31" s="23"/>
      <c r="F31" s="16">
        <f t="shared" si="10"/>
        <v>0</v>
      </c>
      <c r="G31" s="23"/>
      <c r="H31" s="23"/>
      <c r="I31" s="16">
        <f t="shared" si="11"/>
        <v>0</v>
      </c>
      <c r="J31" s="23"/>
      <c r="K31" s="23"/>
      <c r="L31" s="16">
        <f t="shared" si="12"/>
        <v>0</v>
      </c>
      <c r="M31" s="23"/>
      <c r="N31" s="23"/>
      <c r="O31" s="16">
        <f t="shared" si="13"/>
        <v>0</v>
      </c>
      <c r="P31" s="23"/>
      <c r="Q31" s="23"/>
      <c r="R31" s="16">
        <f t="shared" si="14"/>
        <v>0</v>
      </c>
      <c r="S31" s="23"/>
      <c r="T31" s="23"/>
      <c r="U31" s="16">
        <f t="shared" si="15"/>
        <v>0</v>
      </c>
    </row>
    <row r="32">
      <c r="A32" s="19"/>
      <c r="B32" s="20" t="s">
        <v>54</v>
      </c>
      <c r="C32" s="21" t="s">
        <v>55</v>
      </c>
      <c r="D32" s="23"/>
      <c r="E32" s="23"/>
      <c r="F32" s="16">
        <f t="shared" si="10"/>
        <v>0</v>
      </c>
      <c r="G32" s="23"/>
      <c r="H32" s="23"/>
      <c r="I32" s="16">
        <f t="shared" si="11"/>
        <v>0</v>
      </c>
      <c r="J32" s="23"/>
      <c r="K32" s="23"/>
      <c r="L32" s="16">
        <f t="shared" si="12"/>
        <v>0</v>
      </c>
      <c r="M32" s="23"/>
      <c r="N32" s="23"/>
      <c r="O32" s="16">
        <f t="shared" si="13"/>
        <v>0</v>
      </c>
      <c r="P32" s="23"/>
      <c r="Q32" s="23"/>
      <c r="R32" s="16">
        <f t="shared" si="14"/>
        <v>0</v>
      </c>
      <c r="S32" s="23"/>
      <c r="T32" s="23"/>
      <c r="U32" s="16">
        <f t="shared" si="15"/>
        <v>0</v>
      </c>
    </row>
    <row r="33">
      <c r="A33" s="19"/>
      <c r="B33" s="20" t="s">
        <v>56</v>
      </c>
      <c r="C33" s="21" t="s">
        <v>57</v>
      </c>
      <c r="D33" s="23"/>
      <c r="E33" s="23"/>
      <c r="F33" s="16">
        <f t="shared" si="10"/>
        <v>0</v>
      </c>
      <c r="G33" s="23"/>
      <c r="H33" s="23"/>
      <c r="I33" s="16">
        <f t="shared" si="11"/>
        <v>0</v>
      </c>
      <c r="J33" s="23"/>
      <c r="K33" s="23"/>
      <c r="L33" s="16">
        <f t="shared" si="12"/>
        <v>0</v>
      </c>
      <c r="M33" s="23"/>
      <c r="N33" s="23"/>
      <c r="O33" s="16">
        <f t="shared" si="13"/>
        <v>0</v>
      </c>
      <c r="P33" s="23"/>
      <c r="Q33" s="23"/>
      <c r="R33" s="16">
        <f t="shared" si="14"/>
        <v>0</v>
      </c>
      <c r="S33" s="23"/>
      <c r="T33" s="23"/>
      <c r="U33" s="16">
        <f t="shared" si="15"/>
        <v>0</v>
      </c>
    </row>
    <row r="34">
      <c r="A34" s="19"/>
      <c r="B34" s="20" t="s">
        <v>58</v>
      </c>
      <c r="C34" s="21" t="s">
        <v>59</v>
      </c>
      <c r="D34" s="23"/>
      <c r="E34" s="23"/>
      <c r="F34" s="16">
        <f t="shared" si="10"/>
        <v>0</v>
      </c>
      <c r="G34" s="23"/>
      <c r="H34" s="23"/>
      <c r="I34" s="16">
        <f t="shared" si="11"/>
        <v>0</v>
      </c>
      <c r="J34" s="23"/>
      <c r="K34" s="23"/>
      <c r="L34" s="16">
        <f t="shared" si="12"/>
        <v>0</v>
      </c>
      <c r="M34" s="23"/>
      <c r="N34" s="23"/>
      <c r="O34" s="16">
        <f t="shared" si="13"/>
        <v>0</v>
      </c>
      <c r="P34" s="23"/>
      <c r="Q34" s="23"/>
      <c r="R34" s="16">
        <f t="shared" si="14"/>
        <v>0</v>
      </c>
      <c r="S34" s="23"/>
      <c r="T34" s="23"/>
      <c r="U34" s="16">
        <f t="shared" si="15"/>
        <v>0</v>
      </c>
    </row>
    <row r="35">
      <c r="A35" s="19"/>
      <c r="B35" s="20" t="s">
        <v>60</v>
      </c>
      <c r="C35" s="21" t="s">
        <v>61</v>
      </c>
      <c r="D35" s="23"/>
      <c r="E35" s="23"/>
      <c r="F35" s="16">
        <f t="shared" si="10"/>
        <v>0</v>
      </c>
      <c r="G35" s="23"/>
      <c r="H35" s="23"/>
      <c r="I35" s="16">
        <f t="shared" si="11"/>
        <v>0</v>
      </c>
      <c r="J35" s="23"/>
      <c r="K35" s="23"/>
      <c r="L35" s="16">
        <f t="shared" si="12"/>
        <v>0</v>
      </c>
      <c r="M35" s="23"/>
      <c r="N35" s="23"/>
      <c r="O35" s="16">
        <f t="shared" si="13"/>
        <v>0</v>
      </c>
      <c r="P35" s="23"/>
      <c r="Q35" s="23"/>
      <c r="R35" s="16">
        <f t="shared" si="14"/>
        <v>0</v>
      </c>
      <c r="S35" s="23"/>
      <c r="T35" s="23"/>
      <c r="U35" s="16">
        <f t="shared" si="15"/>
        <v>0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3"/>
      <c r="H36" s="23"/>
      <c r="I36" s="16">
        <f t="shared" si="11"/>
        <v>0</v>
      </c>
      <c r="J36" s="23"/>
      <c r="K36" s="23"/>
      <c r="L36" s="16">
        <f t="shared" si="12"/>
        <v>0</v>
      </c>
      <c r="M36" s="23"/>
      <c r="N36" s="23"/>
      <c r="O36" s="16">
        <f t="shared" si="13"/>
        <v>0</v>
      </c>
      <c r="P36" s="23"/>
      <c r="Q36" s="23"/>
      <c r="R36" s="16">
        <f t="shared" si="14"/>
        <v>0</v>
      </c>
      <c r="S36" s="23"/>
      <c r="T36" s="23"/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3"/>
      <c r="H37" s="23"/>
      <c r="I37" s="16">
        <f t="shared" si="11"/>
        <v>0</v>
      </c>
      <c r="J37" s="23"/>
      <c r="K37" s="23"/>
      <c r="L37" s="16">
        <f t="shared" si="12"/>
        <v>0</v>
      </c>
      <c r="M37" s="23"/>
      <c r="N37" s="23"/>
      <c r="O37" s="16">
        <f t="shared" si="13"/>
        <v>0</v>
      </c>
      <c r="P37" s="23"/>
      <c r="Q37" s="23"/>
      <c r="R37" s="16">
        <f t="shared" si="14"/>
        <v>0</v>
      </c>
      <c r="S37" s="23"/>
      <c r="T37" s="23"/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3"/>
      <c r="F38" s="16">
        <f t="shared" si="10"/>
        <v>0</v>
      </c>
      <c r="G38" s="23"/>
      <c r="H38" s="23"/>
      <c r="I38" s="16">
        <f t="shared" si="11"/>
        <v>0</v>
      </c>
      <c r="J38" s="23"/>
      <c r="K38" s="23"/>
      <c r="L38" s="16">
        <f t="shared" si="12"/>
        <v>0</v>
      </c>
      <c r="M38" s="23"/>
      <c r="N38" s="23"/>
      <c r="O38" s="16">
        <f t="shared" si="13"/>
        <v>0</v>
      </c>
      <c r="P38" s="23"/>
      <c r="Q38" s="23"/>
      <c r="R38" s="16">
        <f t="shared" si="14"/>
        <v>0</v>
      </c>
      <c r="S38" s="23"/>
      <c r="T38" s="23"/>
      <c r="U38" s="16">
        <f t="shared" si="15"/>
        <v>0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3"/>
      <c r="H39" s="23"/>
      <c r="I39" s="16">
        <f t="shared" si="11"/>
        <v>0</v>
      </c>
      <c r="J39" s="23"/>
      <c r="K39" s="23"/>
      <c r="L39" s="16">
        <f t="shared" si="12"/>
        <v>0</v>
      </c>
      <c r="M39" s="23"/>
      <c r="N39" s="23"/>
      <c r="O39" s="16">
        <f t="shared" si="13"/>
        <v>0</v>
      </c>
      <c r="P39" s="23"/>
      <c r="Q39" s="23"/>
      <c r="R39" s="16">
        <f t="shared" si="14"/>
        <v>0</v>
      </c>
      <c r="S39" s="23"/>
      <c r="T39" s="23"/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3"/>
      <c r="H40" s="23"/>
      <c r="I40" s="16">
        <f t="shared" si="11"/>
        <v>0</v>
      </c>
      <c r="J40" s="23"/>
      <c r="K40" s="23"/>
      <c r="L40" s="16">
        <f t="shared" si="12"/>
        <v>0</v>
      </c>
      <c r="M40" s="23"/>
      <c r="N40" s="23"/>
      <c r="O40" s="16">
        <f t="shared" si="13"/>
        <v>0</v>
      </c>
      <c r="P40" s="23"/>
      <c r="Q40" s="23"/>
      <c r="R40" s="16">
        <f t="shared" si="14"/>
        <v>0</v>
      </c>
      <c r="S40" s="23"/>
      <c r="T40" s="23"/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3"/>
      <c r="H41" s="23"/>
      <c r="I41" s="16">
        <f t="shared" si="11"/>
        <v>0</v>
      </c>
      <c r="J41" s="23"/>
      <c r="K41" s="23"/>
      <c r="L41" s="16">
        <f t="shared" si="12"/>
        <v>0</v>
      </c>
      <c r="M41" s="23"/>
      <c r="N41" s="23"/>
      <c r="O41" s="16">
        <f t="shared" si="13"/>
        <v>0</v>
      </c>
      <c r="P41" s="23"/>
      <c r="Q41" s="23"/>
      <c r="R41" s="16">
        <f t="shared" si="14"/>
        <v>0</v>
      </c>
      <c r="S41" s="23"/>
      <c r="T41" s="23"/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0</v>
      </c>
      <c r="N46" s="16">
        <f t="shared" si="16"/>
        <v>0</v>
      </c>
      <c r="O46" s="16">
        <f t="shared" si="16"/>
        <v>0</v>
      </c>
      <c r="P46" s="16">
        <f t="shared" si="16"/>
        <v>0</v>
      </c>
      <c r="Q46" s="16">
        <f t="shared" si="16"/>
        <v>0</v>
      </c>
      <c r="R46" s="16">
        <f t="shared" si="16"/>
        <v>0</v>
      </c>
      <c r="S46" s="16">
        <f t="shared" si="16"/>
        <v>0</v>
      </c>
      <c r="T46" s="16">
        <f t="shared" si="16"/>
        <v>0</v>
      </c>
      <c r="U46" s="16">
        <f t="shared" si="16"/>
        <v>0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0</v>
      </c>
      <c r="N47" s="16">
        <f t="shared" si="17"/>
        <v>0</v>
      </c>
      <c r="O47" s="16">
        <f t="shared" si="17"/>
        <v>0</v>
      </c>
      <c r="P47" s="16">
        <f t="shared" si="17"/>
        <v>0</v>
      </c>
      <c r="Q47" s="16">
        <f t="shared" si="17"/>
        <v>0</v>
      </c>
      <c r="R47" s="16">
        <f t="shared" si="17"/>
        <v>0</v>
      </c>
      <c r="S47" s="16">
        <f t="shared" si="17"/>
        <v>0</v>
      </c>
      <c r="T47" s="16">
        <f t="shared" si="17"/>
        <v>0</v>
      </c>
      <c r="U47" s="16">
        <f t="shared" si="17"/>
        <v>0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3"/>
      <c r="N48" s="23"/>
      <c r="O48" s="16">
        <f t="shared" ref="O48:O55" si="21">SUM(M48:N48)</f>
        <v>0</v>
      </c>
      <c r="P48" s="23"/>
      <c r="Q48" s="23"/>
      <c r="R48" s="16">
        <f t="shared" ref="R48:R55" si="22">SUM(P48:Q48)</f>
        <v>0</v>
      </c>
      <c r="S48" s="23"/>
      <c r="T48" s="23"/>
      <c r="U48" s="16">
        <f t="shared" ref="U48:U55" si="23">SUM(S48:T48)</f>
        <v>0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3"/>
      <c r="N49" s="23"/>
      <c r="O49" s="16">
        <f t="shared" si="21"/>
        <v>0</v>
      </c>
      <c r="P49" s="23"/>
      <c r="Q49" s="23"/>
      <c r="R49" s="16">
        <f t="shared" si="22"/>
        <v>0</v>
      </c>
      <c r="S49" s="23"/>
      <c r="T49" s="23"/>
      <c r="U49" s="16">
        <f t="shared" si="23"/>
        <v>0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3"/>
      <c r="N50" s="23"/>
      <c r="O50" s="16">
        <f t="shared" si="21"/>
        <v>0</v>
      </c>
      <c r="P50" s="23"/>
      <c r="Q50" s="23"/>
      <c r="R50" s="16">
        <f t="shared" si="22"/>
        <v>0</v>
      </c>
      <c r="S50" s="23"/>
      <c r="T50" s="23"/>
      <c r="U50" s="16">
        <f t="shared" si="23"/>
        <v>0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3"/>
      <c r="N51" s="23"/>
      <c r="O51" s="16">
        <f t="shared" si="21"/>
        <v>0</v>
      </c>
      <c r="P51" s="23"/>
      <c r="Q51" s="23"/>
      <c r="R51" s="16">
        <f t="shared" si="22"/>
        <v>0</v>
      </c>
      <c r="S51" s="23"/>
      <c r="T51" s="23"/>
      <c r="U51" s="16">
        <f t="shared" si="23"/>
        <v>0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3"/>
      <c r="N52" s="23"/>
      <c r="O52" s="16">
        <f t="shared" si="21"/>
        <v>0</v>
      </c>
      <c r="P52" s="23"/>
      <c r="Q52" s="23"/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3"/>
      <c r="N53" s="23"/>
      <c r="O53" s="16">
        <f t="shared" si="21"/>
        <v>0</v>
      </c>
      <c r="P53" s="23"/>
      <c r="Q53" s="23"/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3"/>
      <c r="N54" s="23"/>
      <c r="O54" s="16">
        <f t="shared" si="21"/>
        <v>0</v>
      </c>
      <c r="P54" s="23"/>
      <c r="Q54" s="23"/>
      <c r="R54" s="16">
        <f t="shared" si="22"/>
        <v>0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3"/>
      <c r="N55" s="23"/>
      <c r="O55" s="16">
        <f t="shared" si="21"/>
        <v>0</v>
      </c>
      <c r="P55" s="23"/>
      <c r="Q55" s="23"/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0</v>
      </c>
      <c r="N56" s="16">
        <f t="shared" si="24"/>
        <v>0</v>
      </c>
      <c r="O56" s="16">
        <f t="shared" si="24"/>
        <v>0</v>
      </c>
      <c r="P56" s="16">
        <f t="shared" si="24"/>
        <v>0</v>
      </c>
      <c r="Q56" s="16">
        <f t="shared" si="24"/>
        <v>0</v>
      </c>
      <c r="R56" s="16">
        <f t="shared" si="24"/>
        <v>0</v>
      </c>
      <c r="S56" s="16">
        <f t="shared" si="24"/>
        <v>0</v>
      </c>
      <c r="T56" s="16">
        <f t="shared" si="24"/>
        <v>0</v>
      </c>
      <c r="U56" s="16">
        <f t="shared" si="24"/>
        <v>0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3"/>
      <c r="N57" s="23"/>
      <c r="O57" s="16">
        <f t="shared" ref="O57:O79" si="28">SUM(M57:N57)</f>
        <v>0</v>
      </c>
      <c r="P57" s="23"/>
      <c r="Q57" s="23"/>
      <c r="R57" s="16">
        <f t="shared" ref="R57:R79" si="29">SUM(P57:Q57)</f>
        <v>0</v>
      </c>
      <c r="S57" s="23"/>
      <c r="T57" s="23"/>
      <c r="U57" s="16">
        <f t="shared" ref="U57:U79" si="30">SUM(S57:T57)</f>
        <v>0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3"/>
      <c r="N58" s="23"/>
      <c r="O58" s="16">
        <f t="shared" si="28"/>
        <v>0</v>
      </c>
      <c r="P58" s="23"/>
      <c r="Q58" s="23"/>
      <c r="R58" s="16">
        <f t="shared" si="29"/>
        <v>0</v>
      </c>
      <c r="S58" s="23"/>
      <c r="T58" s="23"/>
      <c r="U58" s="16">
        <f t="shared" si="30"/>
        <v>0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3"/>
      <c r="N59" s="23"/>
      <c r="O59" s="16">
        <f t="shared" si="28"/>
        <v>0</v>
      </c>
      <c r="P59" s="23"/>
      <c r="Q59" s="23"/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3"/>
      <c r="N60" s="23"/>
      <c r="O60" s="16">
        <f t="shared" si="28"/>
        <v>0</v>
      </c>
      <c r="P60" s="23"/>
      <c r="Q60" s="23"/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3"/>
      <c r="N61" s="23"/>
      <c r="O61" s="16">
        <f t="shared" si="28"/>
        <v>0</v>
      </c>
      <c r="P61" s="23"/>
      <c r="Q61" s="23"/>
      <c r="R61" s="16">
        <f t="shared" si="29"/>
        <v>0</v>
      </c>
      <c r="S61" s="23"/>
      <c r="T61" s="23"/>
      <c r="U61" s="16">
        <f t="shared" si="30"/>
        <v>0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3"/>
      <c r="N62" s="23"/>
      <c r="O62" s="16">
        <f t="shared" si="28"/>
        <v>0</v>
      </c>
      <c r="P62" s="23"/>
      <c r="Q62" s="23"/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3"/>
      <c r="N63" s="23"/>
      <c r="O63" s="16">
        <f t="shared" si="28"/>
        <v>0</v>
      </c>
      <c r="P63" s="23"/>
      <c r="Q63" s="23"/>
      <c r="R63" s="16">
        <f t="shared" si="29"/>
        <v>0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3"/>
      <c r="N64" s="23"/>
      <c r="O64" s="16">
        <f t="shared" si="28"/>
        <v>0</v>
      </c>
      <c r="P64" s="23"/>
      <c r="Q64" s="23"/>
      <c r="R64" s="16">
        <f t="shared" si="29"/>
        <v>0</v>
      </c>
      <c r="S64" s="23"/>
      <c r="T64" s="23"/>
      <c r="U64" s="16">
        <f t="shared" si="30"/>
        <v>0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3"/>
      <c r="N65" s="23"/>
      <c r="O65" s="16">
        <f t="shared" si="28"/>
        <v>0</v>
      </c>
      <c r="P65" s="23"/>
      <c r="Q65" s="23"/>
      <c r="R65" s="16">
        <f t="shared" si="29"/>
        <v>0</v>
      </c>
      <c r="S65" s="23"/>
      <c r="T65" s="23"/>
      <c r="U65" s="16">
        <f t="shared" si="30"/>
        <v>0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3"/>
      <c r="N66" s="23"/>
      <c r="O66" s="16">
        <f t="shared" si="28"/>
        <v>0</v>
      </c>
      <c r="P66" s="23"/>
      <c r="Q66" s="23"/>
      <c r="R66" s="16">
        <f t="shared" si="29"/>
        <v>0</v>
      </c>
      <c r="S66" s="23"/>
      <c r="T66" s="23"/>
      <c r="U66" s="16">
        <f t="shared" si="30"/>
        <v>0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3"/>
      <c r="N67" s="23"/>
      <c r="O67" s="16">
        <f t="shared" si="28"/>
        <v>0</v>
      </c>
      <c r="P67" s="23"/>
      <c r="Q67" s="23"/>
      <c r="R67" s="16">
        <f t="shared" si="29"/>
        <v>0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3"/>
      <c r="N68" s="23"/>
      <c r="O68" s="16">
        <f t="shared" si="28"/>
        <v>0</v>
      </c>
      <c r="P68" s="23"/>
      <c r="Q68" s="23"/>
      <c r="R68" s="16">
        <f t="shared" si="29"/>
        <v>0</v>
      </c>
      <c r="S68" s="23"/>
      <c r="T68" s="23"/>
      <c r="U68" s="16">
        <f t="shared" si="30"/>
        <v>0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3"/>
      <c r="N69" s="23"/>
      <c r="O69" s="16">
        <f t="shared" si="28"/>
        <v>0</v>
      </c>
      <c r="P69" s="23"/>
      <c r="Q69" s="23"/>
      <c r="R69" s="16">
        <f t="shared" si="29"/>
        <v>0</v>
      </c>
      <c r="S69" s="23"/>
      <c r="T69" s="23"/>
      <c r="U69" s="16">
        <f t="shared" si="30"/>
        <v>0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3"/>
      <c r="N70" s="23"/>
      <c r="O70" s="16">
        <f t="shared" si="28"/>
        <v>0</v>
      </c>
      <c r="P70" s="23"/>
      <c r="Q70" s="23"/>
      <c r="R70" s="16">
        <f t="shared" si="29"/>
        <v>0</v>
      </c>
      <c r="S70" s="23"/>
      <c r="T70" s="23"/>
      <c r="U70" s="16">
        <f t="shared" si="30"/>
        <v>0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3"/>
      <c r="N71" s="23"/>
      <c r="O71" s="16">
        <f t="shared" si="28"/>
        <v>0</v>
      </c>
      <c r="P71" s="23"/>
      <c r="Q71" s="23"/>
      <c r="R71" s="16">
        <f t="shared" si="29"/>
        <v>0</v>
      </c>
      <c r="S71" s="23"/>
      <c r="T71" s="23"/>
      <c r="U71" s="16">
        <f t="shared" si="30"/>
        <v>0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3"/>
      <c r="N72" s="23"/>
      <c r="O72" s="16">
        <f t="shared" si="28"/>
        <v>0</v>
      </c>
      <c r="P72" s="23"/>
      <c r="Q72" s="23"/>
      <c r="R72" s="16">
        <f t="shared" si="29"/>
        <v>0</v>
      </c>
      <c r="S72" s="23"/>
      <c r="T72" s="23"/>
      <c r="U72" s="16">
        <f t="shared" si="30"/>
        <v>0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3"/>
      <c r="N73" s="23"/>
      <c r="O73" s="16">
        <f t="shared" si="28"/>
        <v>0</v>
      </c>
      <c r="P73" s="23"/>
      <c r="Q73" s="23"/>
      <c r="R73" s="16">
        <f t="shared" si="29"/>
        <v>0</v>
      </c>
      <c r="S73" s="23"/>
      <c r="T73" s="23"/>
      <c r="U73" s="16">
        <f t="shared" si="30"/>
        <v>0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3"/>
      <c r="N74" s="23"/>
      <c r="O74" s="16">
        <f t="shared" si="28"/>
        <v>0</v>
      </c>
      <c r="P74" s="23"/>
      <c r="Q74" s="23"/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3"/>
      <c r="N75" s="23"/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3"/>
      <c r="N76" s="23"/>
      <c r="O76" s="16">
        <f t="shared" si="28"/>
        <v>0</v>
      </c>
      <c r="P76" s="23"/>
      <c r="Q76" s="23"/>
      <c r="R76" s="16">
        <f t="shared" si="29"/>
        <v>0</v>
      </c>
      <c r="S76" s="23"/>
      <c r="T76" s="23"/>
      <c r="U76" s="16">
        <f t="shared" si="30"/>
        <v>0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3"/>
      <c r="N77" s="23"/>
      <c r="O77" s="16">
        <f t="shared" si="28"/>
        <v>0</v>
      </c>
      <c r="P77" s="23"/>
      <c r="Q77" s="23"/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3"/>
      <c r="N78" s="23"/>
      <c r="O78" s="16">
        <f t="shared" si="28"/>
        <v>0</v>
      </c>
      <c r="P78" s="23"/>
      <c r="Q78" s="23"/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3"/>
      <c r="N79" s="23"/>
      <c r="O79" s="16">
        <f t="shared" si="28"/>
        <v>0</v>
      </c>
      <c r="P79" s="23"/>
      <c r="Q79" s="23"/>
      <c r="R79" s="16">
        <f t="shared" si="29"/>
        <v>0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84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0</v>
      </c>
      <c r="E8" s="16">
        <f t="shared" si="1"/>
        <v>0</v>
      </c>
      <c r="F8" s="16">
        <f t="shared" si="1"/>
        <v>0</v>
      </c>
      <c r="G8" s="16">
        <f t="shared" si="1"/>
        <v>0</v>
      </c>
      <c r="H8" s="16">
        <f t="shared" si="1"/>
        <v>0</v>
      </c>
      <c r="I8" s="16">
        <f t="shared" si="1"/>
        <v>0</v>
      </c>
      <c r="J8" s="16">
        <f t="shared" si="1"/>
        <v>0</v>
      </c>
      <c r="K8" s="16">
        <f t="shared" si="1"/>
        <v>0</v>
      </c>
      <c r="L8" s="16">
        <f t="shared" si="1"/>
        <v>0</v>
      </c>
      <c r="M8" s="16">
        <f t="shared" si="1"/>
        <v>0</v>
      </c>
      <c r="N8" s="16">
        <f t="shared" si="1"/>
        <v>0</v>
      </c>
      <c r="O8" s="16">
        <f t="shared" si="1"/>
        <v>0</v>
      </c>
      <c r="P8" s="16">
        <f t="shared" si="1"/>
        <v>0</v>
      </c>
      <c r="Q8" s="16">
        <f t="shared" si="1"/>
        <v>0</v>
      </c>
      <c r="R8" s="16">
        <f t="shared" si="1"/>
        <v>0</v>
      </c>
      <c r="S8" s="16">
        <f t="shared" si="1"/>
        <v>0</v>
      </c>
      <c r="T8" s="16">
        <f t="shared" si="1"/>
        <v>0</v>
      </c>
      <c r="U8" s="16">
        <f t="shared" si="1"/>
        <v>0</v>
      </c>
    </row>
    <row r="9">
      <c r="A9" s="17">
        <v>2.0</v>
      </c>
      <c r="B9" s="18" t="s">
        <v>15</v>
      </c>
      <c r="C9" s="9"/>
      <c r="D9" s="16">
        <f t="shared" ref="D9:U9" si="2">SUM(D10:D17)</f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</row>
    <row r="10">
      <c r="A10" s="19"/>
      <c r="B10" s="20" t="s">
        <v>16</v>
      </c>
      <c r="C10" s="21" t="s">
        <v>17</v>
      </c>
      <c r="D10" s="23"/>
      <c r="E10" s="23"/>
      <c r="F10" s="16">
        <f t="shared" ref="F10:F17" si="3">SUM(D10:E10)</f>
        <v>0</v>
      </c>
      <c r="G10" s="23"/>
      <c r="H10" s="23"/>
      <c r="I10" s="16">
        <f t="shared" ref="I10:I17" si="4">SUM(G10:H10)</f>
        <v>0</v>
      </c>
      <c r="J10" s="23"/>
      <c r="K10" s="23"/>
      <c r="L10" s="16">
        <f t="shared" ref="L10:L17" si="5">SUM(J10:K10)</f>
        <v>0</v>
      </c>
      <c r="M10" s="23"/>
      <c r="N10" s="23"/>
      <c r="O10" s="16">
        <f t="shared" ref="O10:O17" si="6">SUM(M10:N10)</f>
        <v>0</v>
      </c>
      <c r="P10" s="23"/>
      <c r="Q10" s="23"/>
      <c r="R10" s="16">
        <f t="shared" ref="R10:R17" si="7">SUM(P10:Q10)</f>
        <v>0</v>
      </c>
      <c r="S10" s="23"/>
      <c r="T10" s="23"/>
      <c r="U10" s="16">
        <f t="shared" ref="U10:U17" si="8">SUM(S10:T10)</f>
        <v>0</v>
      </c>
    </row>
    <row r="11">
      <c r="A11" s="19"/>
      <c r="B11" s="20" t="s">
        <v>19</v>
      </c>
      <c r="C11" s="21" t="s">
        <v>20</v>
      </c>
      <c r="D11" s="23"/>
      <c r="E11" s="23"/>
      <c r="F11" s="16">
        <f t="shared" si="3"/>
        <v>0</v>
      </c>
      <c r="G11" s="23"/>
      <c r="H11" s="23"/>
      <c r="I11" s="16">
        <f t="shared" si="4"/>
        <v>0</v>
      </c>
      <c r="J11" s="23"/>
      <c r="K11" s="23"/>
      <c r="L11" s="16">
        <f t="shared" si="5"/>
        <v>0</v>
      </c>
      <c r="M11" s="23"/>
      <c r="N11" s="23"/>
      <c r="O11" s="16">
        <f t="shared" si="6"/>
        <v>0</v>
      </c>
      <c r="P11" s="23"/>
      <c r="Q11" s="23"/>
      <c r="R11" s="16">
        <f t="shared" si="7"/>
        <v>0</v>
      </c>
      <c r="S11" s="23"/>
      <c r="T11" s="23"/>
      <c r="U11" s="16">
        <f t="shared" si="8"/>
        <v>0</v>
      </c>
    </row>
    <row r="12">
      <c r="A12" s="19"/>
      <c r="B12" s="20" t="s">
        <v>22</v>
      </c>
      <c r="C12" s="21" t="s">
        <v>23</v>
      </c>
      <c r="D12" s="23"/>
      <c r="E12" s="23"/>
      <c r="F12" s="16">
        <f t="shared" si="3"/>
        <v>0</v>
      </c>
      <c r="G12" s="23"/>
      <c r="H12" s="23"/>
      <c r="I12" s="16">
        <f t="shared" si="4"/>
        <v>0</v>
      </c>
      <c r="J12" s="23"/>
      <c r="K12" s="23"/>
      <c r="L12" s="16">
        <f t="shared" si="5"/>
        <v>0</v>
      </c>
      <c r="M12" s="23"/>
      <c r="N12" s="23"/>
      <c r="O12" s="16">
        <f t="shared" si="6"/>
        <v>0</v>
      </c>
      <c r="P12" s="23"/>
      <c r="Q12" s="23"/>
      <c r="R12" s="16">
        <f t="shared" si="7"/>
        <v>0</v>
      </c>
      <c r="S12" s="23"/>
      <c r="T12" s="23"/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3"/>
      <c r="E13" s="23"/>
      <c r="F13" s="16">
        <f t="shared" si="3"/>
        <v>0</v>
      </c>
      <c r="G13" s="23"/>
      <c r="H13" s="23"/>
      <c r="I13" s="16">
        <f t="shared" si="4"/>
        <v>0</v>
      </c>
      <c r="J13" s="23"/>
      <c r="K13" s="23"/>
      <c r="L13" s="16">
        <f t="shared" si="5"/>
        <v>0</v>
      </c>
      <c r="M13" s="23"/>
      <c r="N13" s="23"/>
      <c r="O13" s="16">
        <f t="shared" si="6"/>
        <v>0</v>
      </c>
      <c r="P13" s="23"/>
      <c r="Q13" s="23"/>
      <c r="R13" s="16">
        <f t="shared" si="7"/>
        <v>0</v>
      </c>
      <c r="S13" s="23"/>
      <c r="T13" s="23"/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3"/>
      <c r="E14" s="23"/>
      <c r="F14" s="16">
        <f t="shared" si="3"/>
        <v>0</v>
      </c>
      <c r="G14" s="23"/>
      <c r="H14" s="23"/>
      <c r="I14" s="16">
        <f t="shared" si="4"/>
        <v>0</v>
      </c>
      <c r="J14" s="23"/>
      <c r="K14" s="23"/>
      <c r="L14" s="16">
        <f t="shared" si="5"/>
        <v>0</v>
      </c>
      <c r="M14" s="23"/>
      <c r="N14" s="23"/>
      <c r="O14" s="16">
        <f t="shared" si="6"/>
        <v>0</v>
      </c>
      <c r="P14" s="23"/>
      <c r="Q14" s="23"/>
      <c r="R14" s="16">
        <f t="shared" si="7"/>
        <v>0</v>
      </c>
      <c r="S14" s="23"/>
      <c r="T14" s="23"/>
      <c r="U14" s="16">
        <f t="shared" si="8"/>
        <v>0</v>
      </c>
    </row>
    <row r="15">
      <c r="A15" s="19"/>
      <c r="B15" s="20" t="s">
        <v>29</v>
      </c>
      <c r="C15" s="21" t="s">
        <v>30</v>
      </c>
      <c r="D15" s="23"/>
      <c r="E15" s="23"/>
      <c r="F15" s="16">
        <f t="shared" si="3"/>
        <v>0</v>
      </c>
      <c r="G15" s="23"/>
      <c r="H15" s="23"/>
      <c r="I15" s="16">
        <f t="shared" si="4"/>
        <v>0</v>
      </c>
      <c r="J15" s="23"/>
      <c r="K15" s="23"/>
      <c r="L15" s="16">
        <f t="shared" si="5"/>
        <v>0</v>
      </c>
      <c r="M15" s="23"/>
      <c r="N15" s="23"/>
      <c r="O15" s="16">
        <f t="shared" si="6"/>
        <v>0</v>
      </c>
      <c r="P15" s="23"/>
      <c r="Q15" s="23"/>
      <c r="R15" s="16">
        <f t="shared" si="7"/>
        <v>0</v>
      </c>
      <c r="S15" s="23"/>
      <c r="T15" s="23"/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3"/>
      <c r="E16" s="23"/>
      <c r="F16" s="16">
        <f t="shared" si="3"/>
        <v>0</v>
      </c>
      <c r="G16" s="23"/>
      <c r="H16" s="23"/>
      <c r="I16" s="16">
        <f t="shared" si="4"/>
        <v>0</v>
      </c>
      <c r="J16" s="23"/>
      <c r="K16" s="23"/>
      <c r="L16" s="16">
        <f t="shared" si="5"/>
        <v>0</v>
      </c>
      <c r="M16" s="23"/>
      <c r="N16" s="23"/>
      <c r="O16" s="16">
        <f t="shared" si="6"/>
        <v>0</v>
      </c>
      <c r="P16" s="23"/>
      <c r="Q16" s="23"/>
      <c r="R16" s="16">
        <f t="shared" si="7"/>
        <v>0</v>
      </c>
      <c r="S16" s="23"/>
      <c r="T16" s="23"/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3"/>
      <c r="E17" s="23"/>
      <c r="F17" s="16">
        <f t="shared" si="3"/>
        <v>0</v>
      </c>
      <c r="G17" s="23"/>
      <c r="H17" s="23"/>
      <c r="I17" s="16">
        <f t="shared" si="4"/>
        <v>0</v>
      </c>
      <c r="J17" s="23"/>
      <c r="K17" s="23"/>
      <c r="L17" s="16">
        <f t="shared" si="5"/>
        <v>0</v>
      </c>
      <c r="M17" s="23"/>
      <c r="N17" s="23"/>
      <c r="O17" s="16">
        <f t="shared" si="6"/>
        <v>0</v>
      </c>
      <c r="P17" s="23"/>
      <c r="Q17" s="23"/>
      <c r="R17" s="16">
        <f t="shared" si="7"/>
        <v>0</v>
      </c>
      <c r="S17" s="23"/>
      <c r="T17" s="23"/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0</v>
      </c>
      <c r="E18" s="16">
        <f t="shared" si="9"/>
        <v>0</v>
      </c>
      <c r="F18" s="16">
        <f t="shared" si="9"/>
        <v>0</v>
      </c>
      <c r="G18" s="16">
        <f t="shared" si="9"/>
        <v>0</v>
      </c>
      <c r="H18" s="16">
        <f t="shared" si="9"/>
        <v>0</v>
      </c>
      <c r="I18" s="16">
        <f t="shared" si="9"/>
        <v>0</v>
      </c>
      <c r="J18" s="16">
        <f t="shared" si="9"/>
        <v>0</v>
      </c>
      <c r="K18" s="16">
        <f t="shared" si="9"/>
        <v>0</v>
      </c>
      <c r="L18" s="16">
        <f t="shared" si="9"/>
        <v>0</v>
      </c>
      <c r="M18" s="16">
        <f t="shared" si="9"/>
        <v>0</v>
      </c>
      <c r="N18" s="16">
        <f t="shared" si="9"/>
        <v>0</v>
      </c>
      <c r="O18" s="16">
        <f t="shared" si="9"/>
        <v>0</v>
      </c>
      <c r="P18" s="16">
        <f t="shared" si="9"/>
        <v>0</v>
      </c>
      <c r="Q18" s="16">
        <f t="shared" si="9"/>
        <v>0</v>
      </c>
      <c r="R18" s="16">
        <f t="shared" si="9"/>
        <v>0</v>
      </c>
      <c r="S18" s="16">
        <f t="shared" si="9"/>
        <v>0</v>
      </c>
      <c r="T18" s="16">
        <f t="shared" si="9"/>
        <v>0</v>
      </c>
      <c r="U18" s="16">
        <f t="shared" si="9"/>
        <v>0</v>
      </c>
    </row>
    <row r="19">
      <c r="A19" s="19"/>
      <c r="B19" s="20" t="s">
        <v>16</v>
      </c>
      <c r="C19" s="21" t="s">
        <v>36</v>
      </c>
      <c r="D19" s="23"/>
      <c r="E19" s="23"/>
      <c r="F19" s="16">
        <f t="shared" ref="F19:F41" si="10">SUM(D19:E19)</f>
        <v>0</v>
      </c>
      <c r="G19" s="23"/>
      <c r="H19" s="23"/>
      <c r="I19" s="16">
        <f t="shared" ref="I19:I41" si="11">SUM(G19:H19)</f>
        <v>0</v>
      </c>
      <c r="J19" s="23"/>
      <c r="K19" s="23"/>
      <c r="L19" s="16">
        <f t="shared" ref="L19:L41" si="12">SUM(J19:K19)</f>
        <v>0</v>
      </c>
      <c r="M19" s="23"/>
      <c r="N19" s="23"/>
      <c r="O19" s="16">
        <f t="shared" ref="O19:O41" si="13">SUM(M19:N19)</f>
        <v>0</v>
      </c>
      <c r="P19" s="23"/>
      <c r="Q19" s="23"/>
      <c r="R19" s="16">
        <f t="shared" ref="R19:R41" si="14">SUM(P19:Q19)</f>
        <v>0</v>
      </c>
      <c r="S19" s="23"/>
      <c r="T19" s="23"/>
      <c r="U19" s="16">
        <f t="shared" ref="U19:U41" si="15">SUM(S19:T19)</f>
        <v>0</v>
      </c>
    </row>
    <row r="20">
      <c r="A20" s="19"/>
      <c r="B20" s="20" t="s">
        <v>19</v>
      </c>
      <c r="C20" s="21" t="s">
        <v>37</v>
      </c>
      <c r="D20" s="23"/>
      <c r="E20" s="23"/>
      <c r="F20" s="16">
        <f t="shared" si="10"/>
        <v>0</v>
      </c>
      <c r="G20" s="23"/>
      <c r="H20" s="23"/>
      <c r="I20" s="16">
        <f t="shared" si="11"/>
        <v>0</v>
      </c>
      <c r="J20" s="23"/>
      <c r="K20" s="23"/>
      <c r="L20" s="16">
        <f t="shared" si="12"/>
        <v>0</v>
      </c>
      <c r="M20" s="23"/>
      <c r="N20" s="23"/>
      <c r="O20" s="16">
        <f t="shared" si="13"/>
        <v>0</v>
      </c>
      <c r="P20" s="23"/>
      <c r="Q20" s="23"/>
      <c r="R20" s="16">
        <f t="shared" si="14"/>
        <v>0</v>
      </c>
      <c r="S20" s="23"/>
      <c r="T20" s="23"/>
      <c r="U20" s="16">
        <f t="shared" si="15"/>
        <v>0</v>
      </c>
    </row>
    <row r="21">
      <c r="A21" s="19"/>
      <c r="B21" s="20" t="s">
        <v>22</v>
      </c>
      <c r="C21" s="21" t="s">
        <v>38</v>
      </c>
      <c r="D21" s="23"/>
      <c r="E21" s="23"/>
      <c r="F21" s="16">
        <f t="shared" si="10"/>
        <v>0</v>
      </c>
      <c r="G21" s="23"/>
      <c r="H21" s="23"/>
      <c r="I21" s="16">
        <f t="shared" si="11"/>
        <v>0</v>
      </c>
      <c r="J21" s="23"/>
      <c r="K21" s="23"/>
      <c r="L21" s="16">
        <f t="shared" si="12"/>
        <v>0</v>
      </c>
      <c r="M21" s="23"/>
      <c r="N21" s="23"/>
      <c r="O21" s="16">
        <f t="shared" si="13"/>
        <v>0</v>
      </c>
      <c r="P21" s="23"/>
      <c r="Q21" s="23"/>
      <c r="R21" s="16">
        <f t="shared" si="14"/>
        <v>0</v>
      </c>
      <c r="S21" s="23"/>
      <c r="T21" s="23"/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3"/>
      <c r="E22" s="23"/>
      <c r="F22" s="16">
        <f t="shared" si="10"/>
        <v>0</v>
      </c>
      <c r="G22" s="23"/>
      <c r="H22" s="23"/>
      <c r="I22" s="16">
        <f t="shared" si="11"/>
        <v>0</v>
      </c>
      <c r="J22" s="23"/>
      <c r="K22" s="23"/>
      <c r="L22" s="16">
        <f t="shared" si="12"/>
        <v>0</v>
      </c>
      <c r="M22" s="23"/>
      <c r="N22" s="23"/>
      <c r="O22" s="16">
        <f t="shared" si="13"/>
        <v>0</v>
      </c>
      <c r="P22" s="23"/>
      <c r="Q22" s="23"/>
      <c r="R22" s="16">
        <f t="shared" si="14"/>
        <v>0</v>
      </c>
      <c r="S22" s="23"/>
      <c r="T22" s="23"/>
      <c r="U22" s="16">
        <f t="shared" si="15"/>
        <v>0</v>
      </c>
    </row>
    <row r="23">
      <c r="A23" s="19"/>
      <c r="B23" s="20" t="s">
        <v>27</v>
      </c>
      <c r="C23" s="21" t="s">
        <v>80</v>
      </c>
      <c r="D23" s="23"/>
      <c r="E23" s="23"/>
      <c r="F23" s="16">
        <f t="shared" si="10"/>
        <v>0</v>
      </c>
      <c r="G23" s="23"/>
      <c r="H23" s="23"/>
      <c r="I23" s="16">
        <f t="shared" si="11"/>
        <v>0</v>
      </c>
      <c r="J23" s="23"/>
      <c r="K23" s="23"/>
      <c r="L23" s="16">
        <f t="shared" si="12"/>
        <v>0</v>
      </c>
      <c r="M23" s="23"/>
      <c r="N23" s="23"/>
      <c r="O23" s="16">
        <f t="shared" si="13"/>
        <v>0</v>
      </c>
      <c r="P23" s="23"/>
      <c r="Q23" s="23"/>
      <c r="R23" s="16">
        <f t="shared" si="14"/>
        <v>0</v>
      </c>
      <c r="S23" s="23"/>
      <c r="T23" s="23"/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3"/>
      <c r="H24" s="23"/>
      <c r="I24" s="16">
        <f t="shared" si="11"/>
        <v>0</v>
      </c>
      <c r="J24" s="23"/>
      <c r="K24" s="23"/>
      <c r="L24" s="16">
        <f t="shared" si="12"/>
        <v>0</v>
      </c>
      <c r="M24" s="23"/>
      <c r="N24" s="23"/>
      <c r="O24" s="16">
        <f t="shared" si="13"/>
        <v>0</v>
      </c>
      <c r="P24" s="23"/>
      <c r="Q24" s="23"/>
      <c r="R24" s="16">
        <f t="shared" si="14"/>
        <v>0</v>
      </c>
      <c r="S24" s="23"/>
      <c r="T24" s="23"/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3"/>
      <c r="E25" s="23"/>
      <c r="F25" s="16">
        <f t="shared" si="10"/>
        <v>0</v>
      </c>
      <c r="G25" s="23"/>
      <c r="H25" s="23"/>
      <c r="I25" s="16">
        <f t="shared" si="11"/>
        <v>0</v>
      </c>
      <c r="J25" s="23"/>
      <c r="K25" s="23"/>
      <c r="L25" s="16">
        <f t="shared" si="12"/>
        <v>0</v>
      </c>
      <c r="M25" s="23"/>
      <c r="N25" s="23"/>
      <c r="O25" s="16">
        <f t="shared" si="13"/>
        <v>0</v>
      </c>
      <c r="P25" s="23"/>
      <c r="Q25" s="23"/>
      <c r="R25" s="16">
        <f t="shared" si="14"/>
        <v>0</v>
      </c>
      <c r="S25" s="23"/>
      <c r="T25" s="23"/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3"/>
      <c r="E26" s="23"/>
      <c r="F26" s="16">
        <f t="shared" si="10"/>
        <v>0</v>
      </c>
      <c r="G26" s="23"/>
      <c r="H26" s="23"/>
      <c r="I26" s="16">
        <f t="shared" si="11"/>
        <v>0</v>
      </c>
      <c r="J26" s="23"/>
      <c r="K26" s="23"/>
      <c r="L26" s="16">
        <f t="shared" si="12"/>
        <v>0</v>
      </c>
      <c r="M26" s="23"/>
      <c r="N26" s="23"/>
      <c r="O26" s="16">
        <f t="shared" si="13"/>
        <v>0</v>
      </c>
      <c r="P26" s="23"/>
      <c r="Q26" s="23"/>
      <c r="R26" s="16">
        <f t="shared" si="14"/>
        <v>0</v>
      </c>
      <c r="S26" s="23"/>
      <c r="T26" s="23"/>
      <c r="U26" s="16">
        <f t="shared" si="15"/>
        <v>0</v>
      </c>
    </row>
    <row r="27">
      <c r="A27" s="19"/>
      <c r="B27" s="20" t="s">
        <v>44</v>
      </c>
      <c r="C27" s="21" t="s">
        <v>45</v>
      </c>
      <c r="D27" s="23"/>
      <c r="E27" s="23"/>
      <c r="F27" s="16">
        <f t="shared" si="10"/>
        <v>0</v>
      </c>
      <c r="G27" s="23"/>
      <c r="H27" s="23"/>
      <c r="I27" s="16">
        <f t="shared" si="11"/>
        <v>0</v>
      </c>
      <c r="J27" s="23"/>
      <c r="K27" s="23"/>
      <c r="L27" s="16">
        <f t="shared" si="12"/>
        <v>0</v>
      </c>
      <c r="M27" s="23"/>
      <c r="N27" s="23"/>
      <c r="O27" s="16">
        <f t="shared" si="13"/>
        <v>0</v>
      </c>
      <c r="P27" s="23"/>
      <c r="Q27" s="23"/>
      <c r="R27" s="16">
        <f t="shared" si="14"/>
        <v>0</v>
      </c>
      <c r="S27" s="23"/>
      <c r="T27" s="23"/>
      <c r="U27" s="16">
        <f t="shared" si="15"/>
        <v>0</v>
      </c>
    </row>
    <row r="28">
      <c r="A28" s="19"/>
      <c r="B28" s="20" t="s">
        <v>46</v>
      </c>
      <c r="C28" s="21" t="s">
        <v>47</v>
      </c>
      <c r="D28" s="23"/>
      <c r="E28" s="23"/>
      <c r="F28" s="16">
        <f t="shared" si="10"/>
        <v>0</v>
      </c>
      <c r="G28" s="23"/>
      <c r="H28" s="23"/>
      <c r="I28" s="16">
        <f t="shared" si="11"/>
        <v>0</v>
      </c>
      <c r="J28" s="23"/>
      <c r="K28" s="23"/>
      <c r="L28" s="16">
        <f t="shared" si="12"/>
        <v>0</v>
      </c>
      <c r="M28" s="23"/>
      <c r="N28" s="23"/>
      <c r="O28" s="16">
        <f t="shared" si="13"/>
        <v>0</v>
      </c>
      <c r="P28" s="23"/>
      <c r="Q28" s="23"/>
      <c r="R28" s="16">
        <f t="shared" si="14"/>
        <v>0</v>
      </c>
      <c r="S28" s="23"/>
      <c r="T28" s="23"/>
      <c r="U28" s="16">
        <f t="shared" si="15"/>
        <v>0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3"/>
      <c r="H29" s="23"/>
      <c r="I29" s="16">
        <f t="shared" si="11"/>
        <v>0</v>
      </c>
      <c r="J29" s="23"/>
      <c r="K29" s="23"/>
      <c r="L29" s="16">
        <f t="shared" si="12"/>
        <v>0</v>
      </c>
      <c r="M29" s="23"/>
      <c r="N29" s="23"/>
      <c r="O29" s="16">
        <f t="shared" si="13"/>
        <v>0</v>
      </c>
      <c r="P29" s="23"/>
      <c r="Q29" s="23"/>
      <c r="R29" s="16">
        <f t="shared" si="14"/>
        <v>0</v>
      </c>
      <c r="S29" s="23"/>
      <c r="T29" s="23"/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3"/>
      <c r="E30" s="23"/>
      <c r="F30" s="16">
        <f t="shared" si="10"/>
        <v>0</v>
      </c>
      <c r="G30" s="23"/>
      <c r="H30" s="23"/>
      <c r="I30" s="16">
        <f t="shared" si="11"/>
        <v>0</v>
      </c>
      <c r="J30" s="23"/>
      <c r="K30" s="23"/>
      <c r="L30" s="16">
        <f t="shared" si="12"/>
        <v>0</v>
      </c>
      <c r="M30" s="23"/>
      <c r="N30" s="23"/>
      <c r="O30" s="16">
        <f t="shared" si="13"/>
        <v>0</v>
      </c>
      <c r="P30" s="23"/>
      <c r="Q30" s="23"/>
      <c r="R30" s="16">
        <f t="shared" si="14"/>
        <v>0</v>
      </c>
      <c r="S30" s="23"/>
      <c r="T30" s="23"/>
      <c r="U30" s="16">
        <f t="shared" si="15"/>
        <v>0</v>
      </c>
    </row>
    <row r="31">
      <c r="A31" s="19"/>
      <c r="B31" s="20" t="s">
        <v>52</v>
      </c>
      <c r="C31" s="21" t="s">
        <v>53</v>
      </c>
      <c r="D31" s="23"/>
      <c r="E31" s="23"/>
      <c r="F31" s="16">
        <f t="shared" si="10"/>
        <v>0</v>
      </c>
      <c r="G31" s="23"/>
      <c r="H31" s="23"/>
      <c r="I31" s="16">
        <f t="shared" si="11"/>
        <v>0</v>
      </c>
      <c r="J31" s="23"/>
      <c r="K31" s="23"/>
      <c r="L31" s="16">
        <f t="shared" si="12"/>
        <v>0</v>
      </c>
      <c r="M31" s="23"/>
      <c r="N31" s="23"/>
      <c r="O31" s="16">
        <f t="shared" si="13"/>
        <v>0</v>
      </c>
      <c r="P31" s="23"/>
      <c r="Q31" s="23"/>
      <c r="R31" s="16">
        <f t="shared" si="14"/>
        <v>0</v>
      </c>
      <c r="S31" s="23"/>
      <c r="T31" s="23"/>
      <c r="U31" s="16">
        <f t="shared" si="15"/>
        <v>0</v>
      </c>
    </row>
    <row r="32">
      <c r="A32" s="19"/>
      <c r="B32" s="20" t="s">
        <v>54</v>
      </c>
      <c r="C32" s="21" t="s">
        <v>55</v>
      </c>
      <c r="D32" s="23"/>
      <c r="E32" s="23"/>
      <c r="F32" s="16">
        <f t="shared" si="10"/>
        <v>0</v>
      </c>
      <c r="G32" s="23"/>
      <c r="H32" s="23"/>
      <c r="I32" s="16">
        <f t="shared" si="11"/>
        <v>0</v>
      </c>
      <c r="J32" s="23"/>
      <c r="K32" s="23"/>
      <c r="L32" s="16">
        <f t="shared" si="12"/>
        <v>0</v>
      </c>
      <c r="M32" s="23"/>
      <c r="N32" s="23"/>
      <c r="O32" s="16">
        <f t="shared" si="13"/>
        <v>0</v>
      </c>
      <c r="P32" s="23"/>
      <c r="Q32" s="23"/>
      <c r="R32" s="16">
        <f t="shared" si="14"/>
        <v>0</v>
      </c>
      <c r="S32" s="23"/>
      <c r="T32" s="23"/>
      <c r="U32" s="16">
        <f t="shared" si="15"/>
        <v>0</v>
      </c>
    </row>
    <row r="33">
      <c r="A33" s="19"/>
      <c r="B33" s="20" t="s">
        <v>56</v>
      </c>
      <c r="C33" s="21" t="s">
        <v>57</v>
      </c>
      <c r="D33" s="23"/>
      <c r="E33" s="23"/>
      <c r="F33" s="16">
        <f t="shared" si="10"/>
        <v>0</v>
      </c>
      <c r="G33" s="23"/>
      <c r="H33" s="23"/>
      <c r="I33" s="16">
        <f t="shared" si="11"/>
        <v>0</v>
      </c>
      <c r="J33" s="23"/>
      <c r="K33" s="23"/>
      <c r="L33" s="16">
        <f t="shared" si="12"/>
        <v>0</v>
      </c>
      <c r="M33" s="23"/>
      <c r="N33" s="23"/>
      <c r="O33" s="16">
        <f t="shared" si="13"/>
        <v>0</v>
      </c>
      <c r="P33" s="23"/>
      <c r="Q33" s="23"/>
      <c r="R33" s="16">
        <f t="shared" si="14"/>
        <v>0</v>
      </c>
      <c r="S33" s="23"/>
      <c r="T33" s="23"/>
      <c r="U33" s="16">
        <f t="shared" si="15"/>
        <v>0</v>
      </c>
    </row>
    <row r="34">
      <c r="A34" s="19"/>
      <c r="B34" s="20" t="s">
        <v>58</v>
      </c>
      <c r="C34" s="21" t="s">
        <v>59</v>
      </c>
      <c r="D34" s="23"/>
      <c r="E34" s="23"/>
      <c r="F34" s="16">
        <f t="shared" si="10"/>
        <v>0</v>
      </c>
      <c r="G34" s="23"/>
      <c r="H34" s="23"/>
      <c r="I34" s="16">
        <f t="shared" si="11"/>
        <v>0</v>
      </c>
      <c r="J34" s="23"/>
      <c r="K34" s="23"/>
      <c r="L34" s="16">
        <f t="shared" si="12"/>
        <v>0</v>
      </c>
      <c r="M34" s="23"/>
      <c r="N34" s="23"/>
      <c r="O34" s="16">
        <f t="shared" si="13"/>
        <v>0</v>
      </c>
      <c r="P34" s="23"/>
      <c r="Q34" s="23"/>
      <c r="R34" s="16">
        <f t="shared" si="14"/>
        <v>0</v>
      </c>
      <c r="S34" s="23"/>
      <c r="T34" s="23"/>
      <c r="U34" s="16">
        <f t="shared" si="15"/>
        <v>0</v>
      </c>
    </row>
    <row r="35">
      <c r="A35" s="19"/>
      <c r="B35" s="20" t="s">
        <v>60</v>
      </c>
      <c r="C35" s="21" t="s">
        <v>61</v>
      </c>
      <c r="D35" s="23"/>
      <c r="E35" s="23"/>
      <c r="F35" s="16">
        <f t="shared" si="10"/>
        <v>0</v>
      </c>
      <c r="G35" s="23"/>
      <c r="H35" s="23"/>
      <c r="I35" s="16">
        <f t="shared" si="11"/>
        <v>0</v>
      </c>
      <c r="J35" s="23"/>
      <c r="K35" s="23"/>
      <c r="L35" s="16">
        <f t="shared" si="12"/>
        <v>0</v>
      </c>
      <c r="M35" s="23"/>
      <c r="N35" s="23"/>
      <c r="O35" s="16">
        <f t="shared" si="13"/>
        <v>0</v>
      </c>
      <c r="P35" s="23"/>
      <c r="Q35" s="23"/>
      <c r="R35" s="16">
        <f t="shared" si="14"/>
        <v>0</v>
      </c>
      <c r="S35" s="23"/>
      <c r="T35" s="23"/>
      <c r="U35" s="16">
        <f t="shared" si="15"/>
        <v>0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3"/>
      <c r="H36" s="23"/>
      <c r="I36" s="16">
        <f t="shared" si="11"/>
        <v>0</v>
      </c>
      <c r="J36" s="23"/>
      <c r="K36" s="23"/>
      <c r="L36" s="16">
        <f t="shared" si="12"/>
        <v>0</v>
      </c>
      <c r="M36" s="23"/>
      <c r="N36" s="23"/>
      <c r="O36" s="16">
        <f t="shared" si="13"/>
        <v>0</v>
      </c>
      <c r="P36" s="23"/>
      <c r="Q36" s="23"/>
      <c r="R36" s="16">
        <f t="shared" si="14"/>
        <v>0</v>
      </c>
      <c r="S36" s="23"/>
      <c r="T36" s="23"/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3"/>
      <c r="H37" s="23"/>
      <c r="I37" s="16">
        <f t="shared" si="11"/>
        <v>0</v>
      </c>
      <c r="J37" s="23"/>
      <c r="K37" s="23"/>
      <c r="L37" s="16">
        <f t="shared" si="12"/>
        <v>0</v>
      </c>
      <c r="M37" s="23"/>
      <c r="N37" s="23"/>
      <c r="O37" s="16">
        <f t="shared" si="13"/>
        <v>0</v>
      </c>
      <c r="P37" s="23"/>
      <c r="Q37" s="23"/>
      <c r="R37" s="16">
        <f t="shared" si="14"/>
        <v>0</v>
      </c>
      <c r="S37" s="23"/>
      <c r="T37" s="23"/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3"/>
      <c r="F38" s="16">
        <f t="shared" si="10"/>
        <v>0</v>
      </c>
      <c r="G38" s="23"/>
      <c r="H38" s="23"/>
      <c r="I38" s="16">
        <f t="shared" si="11"/>
        <v>0</v>
      </c>
      <c r="J38" s="23"/>
      <c r="K38" s="23"/>
      <c r="L38" s="16">
        <f t="shared" si="12"/>
        <v>0</v>
      </c>
      <c r="M38" s="23"/>
      <c r="N38" s="23"/>
      <c r="O38" s="16">
        <f t="shared" si="13"/>
        <v>0</v>
      </c>
      <c r="P38" s="23"/>
      <c r="Q38" s="23"/>
      <c r="R38" s="16">
        <f t="shared" si="14"/>
        <v>0</v>
      </c>
      <c r="S38" s="23"/>
      <c r="T38" s="23"/>
      <c r="U38" s="16">
        <f t="shared" si="15"/>
        <v>0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3"/>
      <c r="H39" s="23"/>
      <c r="I39" s="16">
        <f t="shared" si="11"/>
        <v>0</v>
      </c>
      <c r="J39" s="23"/>
      <c r="K39" s="23"/>
      <c r="L39" s="16">
        <f t="shared" si="12"/>
        <v>0</v>
      </c>
      <c r="M39" s="23"/>
      <c r="N39" s="23"/>
      <c r="O39" s="16">
        <f t="shared" si="13"/>
        <v>0</v>
      </c>
      <c r="P39" s="23"/>
      <c r="Q39" s="23"/>
      <c r="R39" s="16">
        <f t="shared" si="14"/>
        <v>0</v>
      </c>
      <c r="S39" s="23"/>
      <c r="T39" s="23"/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3"/>
      <c r="H40" s="23"/>
      <c r="I40" s="16">
        <f t="shared" si="11"/>
        <v>0</v>
      </c>
      <c r="J40" s="23"/>
      <c r="K40" s="23"/>
      <c r="L40" s="16">
        <f t="shared" si="12"/>
        <v>0</v>
      </c>
      <c r="M40" s="23"/>
      <c r="N40" s="23"/>
      <c r="O40" s="16">
        <f t="shared" si="13"/>
        <v>0</v>
      </c>
      <c r="P40" s="23"/>
      <c r="Q40" s="23"/>
      <c r="R40" s="16">
        <f t="shared" si="14"/>
        <v>0</v>
      </c>
      <c r="S40" s="23"/>
      <c r="T40" s="23"/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3"/>
      <c r="H41" s="23"/>
      <c r="I41" s="16">
        <f t="shared" si="11"/>
        <v>0</v>
      </c>
      <c r="J41" s="23"/>
      <c r="K41" s="23"/>
      <c r="L41" s="16">
        <f t="shared" si="12"/>
        <v>0</v>
      </c>
      <c r="M41" s="23"/>
      <c r="N41" s="23"/>
      <c r="O41" s="16">
        <f t="shared" si="13"/>
        <v>0</v>
      </c>
      <c r="P41" s="23"/>
      <c r="Q41" s="23"/>
      <c r="R41" s="16">
        <f t="shared" si="14"/>
        <v>0</v>
      </c>
      <c r="S41" s="23"/>
      <c r="T41" s="23"/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0</v>
      </c>
      <c r="N46" s="16">
        <f t="shared" si="16"/>
        <v>0</v>
      </c>
      <c r="O46" s="16">
        <f t="shared" si="16"/>
        <v>0</v>
      </c>
      <c r="P46" s="16">
        <f t="shared" si="16"/>
        <v>0</v>
      </c>
      <c r="Q46" s="16">
        <f t="shared" si="16"/>
        <v>0</v>
      </c>
      <c r="R46" s="16">
        <f t="shared" si="16"/>
        <v>0</v>
      </c>
      <c r="S46" s="16">
        <f t="shared" si="16"/>
        <v>0</v>
      </c>
      <c r="T46" s="16">
        <f t="shared" si="16"/>
        <v>0</v>
      </c>
      <c r="U46" s="16">
        <f t="shared" si="16"/>
        <v>0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0</v>
      </c>
      <c r="N47" s="16">
        <f t="shared" si="17"/>
        <v>0</v>
      </c>
      <c r="O47" s="16">
        <f t="shared" si="17"/>
        <v>0</v>
      </c>
      <c r="P47" s="16">
        <f t="shared" si="17"/>
        <v>0</v>
      </c>
      <c r="Q47" s="16">
        <f t="shared" si="17"/>
        <v>0</v>
      </c>
      <c r="R47" s="16">
        <f t="shared" si="17"/>
        <v>0</v>
      </c>
      <c r="S47" s="16">
        <f t="shared" si="17"/>
        <v>0</v>
      </c>
      <c r="T47" s="16">
        <f t="shared" si="17"/>
        <v>0</v>
      </c>
      <c r="U47" s="16">
        <f t="shared" si="17"/>
        <v>0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3"/>
      <c r="N48" s="23"/>
      <c r="O48" s="16">
        <f t="shared" ref="O48:O55" si="21">SUM(M48:N48)</f>
        <v>0</v>
      </c>
      <c r="P48" s="23"/>
      <c r="Q48" s="23"/>
      <c r="R48" s="16">
        <f t="shared" ref="R48:R55" si="22">SUM(P48:Q48)</f>
        <v>0</v>
      </c>
      <c r="S48" s="23"/>
      <c r="T48" s="23"/>
      <c r="U48" s="16">
        <f t="shared" ref="U48:U55" si="23">SUM(S48:T48)</f>
        <v>0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3"/>
      <c r="N49" s="23"/>
      <c r="O49" s="16">
        <f t="shared" si="21"/>
        <v>0</v>
      </c>
      <c r="P49" s="23"/>
      <c r="Q49" s="23"/>
      <c r="R49" s="16">
        <f t="shared" si="22"/>
        <v>0</v>
      </c>
      <c r="S49" s="23"/>
      <c r="T49" s="23"/>
      <c r="U49" s="16">
        <f t="shared" si="23"/>
        <v>0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3"/>
      <c r="N50" s="23"/>
      <c r="O50" s="16">
        <f t="shared" si="21"/>
        <v>0</v>
      </c>
      <c r="P50" s="23"/>
      <c r="Q50" s="23"/>
      <c r="R50" s="16">
        <f t="shared" si="22"/>
        <v>0</v>
      </c>
      <c r="S50" s="23"/>
      <c r="T50" s="23"/>
      <c r="U50" s="16">
        <f t="shared" si="23"/>
        <v>0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3"/>
      <c r="N51" s="23"/>
      <c r="O51" s="16">
        <f t="shared" si="21"/>
        <v>0</v>
      </c>
      <c r="P51" s="23"/>
      <c r="Q51" s="23"/>
      <c r="R51" s="16">
        <f t="shared" si="22"/>
        <v>0</v>
      </c>
      <c r="S51" s="23"/>
      <c r="T51" s="23"/>
      <c r="U51" s="16">
        <f t="shared" si="23"/>
        <v>0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3"/>
      <c r="N52" s="23"/>
      <c r="O52" s="16">
        <f t="shared" si="21"/>
        <v>0</v>
      </c>
      <c r="P52" s="23"/>
      <c r="Q52" s="23"/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3"/>
      <c r="N53" s="23"/>
      <c r="O53" s="16">
        <f t="shared" si="21"/>
        <v>0</v>
      </c>
      <c r="P53" s="23"/>
      <c r="Q53" s="23"/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3"/>
      <c r="N54" s="23"/>
      <c r="O54" s="16">
        <f t="shared" si="21"/>
        <v>0</v>
      </c>
      <c r="P54" s="23"/>
      <c r="Q54" s="23"/>
      <c r="R54" s="16">
        <f t="shared" si="22"/>
        <v>0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3"/>
      <c r="N55" s="23"/>
      <c r="O55" s="16">
        <f t="shared" si="21"/>
        <v>0</v>
      </c>
      <c r="P55" s="23"/>
      <c r="Q55" s="23"/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0</v>
      </c>
      <c r="N56" s="16">
        <f t="shared" si="24"/>
        <v>0</v>
      </c>
      <c r="O56" s="16">
        <f t="shared" si="24"/>
        <v>0</v>
      </c>
      <c r="P56" s="16">
        <f t="shared" si="24"/>
        <v>0</v>
      </c>
      <c r="Q56" s="16">
        <f t="shared" si="24"/>
        <v>0</v>
      </c>
      <c r="R56" s="16">
        <f t="shared" si="24"/>
        <v>0</v>
      </c>
      <c r="S56" s="16">
        <f t="shared" si="24"/>
        <v>0</v>
      </c>
      <c r="T56" s="16">
        <f t="shared" si="24"/>
        <v>0</v>
      </c>
      <c r="U56" s="16">
        <f t="shared" si="24"/>
        <v>0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3"/>
      <c r="N57" s="23"/>
      <c r="O57" s="16">
        <f t="shared" ref="O57:O79" si="28">SUM(M57:N57)</f>
        <v>0</v>
      </c>
      <c r="P57" s="23"/>
      <c r="Q57" s="23"/>
      <c r="R57" s="16">
        <f t="shared" ref="R57:R79" si="29">SUM(P57:Q57)</f>
        <v>0</v>
      </c>
      <c r="S57" s="23"/>
      <c r="T57" s="23"/>
      <c r="U57" s="16">
        <f t="shared" ref="U57:U79" si="30">SUM(S57:T57)</f>
        <v>0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3"/>
      <c r="N58" s="23"/>
      <c r="O58" s="16">
        <f t="shared" si="28"/>
        <v>0</v>
      </c>
      <c r="P58" s="23"/>
      <c r="Q58" s="23"/>
      <c r="R58" s="16">
        <f t="shared" si="29"/>
        <v>0</v>
      </c>
      <c r="S58" s="23"/>
      <c r="T58" s="23"/>
      <c r="U58" s="16">
        <f t="shared" si="30"/>
        <v>0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3"/>
      <c r="N59" s="23"/>
      <c r="O59" s="16">
        <f t="shared" si="28"/>
        <v>0</v>
      </c>
      <c r="P59" s="23"/>
      <c r="Q59" s="23"/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3"/>
      <c r="N60" s="23"/>
      <c r="O60" s="16">
        <f t="shared" si="28"/>
        <v>0</v>
      </c>
      <c r="P60" s="23"/>
      <c r="Q60" s="23"/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3"/>
      <c r="N61" s="23"/>
      <c r="O61" s="16">
        <f t="shared" si="28"/>
        <v>0</v>
      </c>
      <c r="P61" s="23"/>
      <c r="Q61" s="23"/>
      <c r="R61" s="16">
        <f t="shared" si="29"/>
        <v>0</v>
      </c>
      <c r="S61" s="23"/>
      <c r="T61" s="23"/>
      <c r="U61" s="16">
        <f t="shared" si="30"/>
        <v>0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3"/>
      <c r="N62" s="23"/>
      <c r="O62" s="16">
        <f t="shared" si="28"/>
        <v>0</v>
      </c>
      <c r="P62" s="23"/>
      <c r="Q62" s="23"/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3"/>
      <c r="N63" s="23"/>
      <c r="O63" s="16">
        <f t="shared" si="28"/>
        <v>0</v>
      </c>
      <c r="P63" s="23"/>
      <c r="Q63" s="23"/>
      <c r="R63" s="16">
        <f t="shared" si="29"/>
        <v>0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3"/>
      <c r="N64" s="23"/>
      <c r="O64" s="16">
        <f t="shared" si="28"/>
        <v>0</v>
      </c>
      <c r="P64" s="23"/>
      <c r="Q64" s="23"/>
      <c r="R64" s="16">
        <f t="shared" si="29"/>
        <v>0</v>
      </c>
      <c r="S64" s="23"/>
      <c r="T64" s="23"/>
      <c r="U64" s="16">
        <f t="shared" si="30"/>
        <v>0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3"/>
      <c r="N65" s="23"/>
      <c r="O65" s="16">
        <f t="shared" si="28"/>
        <v>0</v>
      </c>
      <c r="P65" s="23"/>
      <c r="Q65" s="23"/>
      <c r="R65" s="16">
        <f t="shared" si="29"/>
        <v>0</v>
      </c>
      <c r="S65" s="23"/>
      <c r="T65" s="23"/>
      <c r="U65" s="16">
        <f t="shared" si="30"/>
        <v>0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3"/>
      <c r="N66" s="23"/>
      <c r="O66" s="16">
        <f t="shared" si="28"/>
        <v>0</v>
      </c>
      <c r="P66" s="23"/>
      <c r="Q66" s="23"/>
      <c r="R66" s="16">
        <f t="shared" si="29"/>
        <v>0</v>
      </c>
      <c r="S66" s="23"/>
      <c r="T66" s="23"/>
      <c r="U66" s="16">
        <f t="shared" si="30"/>
        <v>0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3"/>
      <c r="N67" s="23"/>
      <c r="O67" s="16">
        <f t="shared" si="28"/>
        <v>0</v>
      </c>
      <c r="P67" s="23"/>
      <c r="Q67" s="23"/>
      <c r="R67" s="16">
        <f t="shared" si="29"/>
        <v>0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3"/>
      <c r="N68" s="23"/>
      <c r="O68" s="16">
        <f t="shared" si="28"/>
        <v>0</v>
      </c>
      <c r="P68" s="23"/>
      <c r="Q68" s="23"/>
      <c r="R68" s="16">
        <f t="shared" si="29"/>
        <v>0</v>
      </c>
      <c r="S68" s="23"/>
      <c r="T68" s="23"/>
      <c r="U68" s="16">
        <f t="shared" si="30"/>
        <v>0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3"/>
      <c r="N69" s="23"/>
      <c r="O69" s="16">
        <f t="shared" si="28"/>
        <v>0</v>
      </c>
      <c r="P69" s="23"/>
      <c r="Q69" s="23"/>
      <c r="R69" s="16">
        <f t="shared" si="29"/>
        <v>0</v>
      </c>
      <c r="S69" s="23"/>
      <c r="T69" s="23"/>
      <c r="U69" s="16">
        <f t="shared" si="30"/>
        <v>0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3"/>
      <c r="N70" s="23"/>
      <c r="O70" s="16">
        <f t="shared" si="28"/>
        <v>0</v>
      </c>
      <c r="P70" s="23"/>
      <c r="Q70" s="23"/>
      <c r="R70" s="16">
        <f t="shared" si="29"/>
        <v>0</v>
      </c>
      <c r="S70" s="23"/>
      <c r="T70" s="23"/>
      <c r="U70" s="16">
        <f t="shared" si="30"/>
        <v>0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3"/>
      <c r="N71" s="23"/>
      <c r="O71" s="16">
        <f t="shared" si="28"/>
        <v>0</v>
      </c>
      <c r="P71" s="23"/>
      <c r="Q71" s="23"/>
      <c r="R71" s="16">
        <f t="shared" si="29"/>
        <v>0</v>
      </c>
      <c r="S71" s="23"/>
      <c r="T71" s="23"/>
      <c r="U71" s="16">
        <f t="shared" si="30"/>
        <v>0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3"/>
      <c r="N72" s="23"/>
      <c r="O72" s="16">
        <f t="shared" si="28"/>
        <v>0</v>
      </c>
      <c r="P72" s="23"/>
      <c r="Q72" s="23"/>
      <c r="R72" s="16">
        <f t="shared" si="29"/>
        <v>0</v>
      </c>
      <c r="S72" s="23"/>
      <c r="T72" s="23"/>
      <c r="U72" s="16">
        <f t="shared" si="30"/>
        <v>0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3"/>
      <c r="N73" s="23"/>
      <c r="O73" s="16">
        <f t="shared" si="28"/>
        <v>0</v>
      </c>
      <c r="P73" s="23"/>
      <c r="Q73" s="23"/>
      <c r="R73" s="16">
        <f t="shared" si="29"/>
        <v>0</v>
      </c>
      <c r="S73" s="23"/>
      <c r="T73" s="23"/>
      <c r="U73" s="16">
        <f t="shared" si="30"/>
        <v>0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3"/>
      <c r="N74" s="23"/>
      <c r="O74" s="16">
        <f t="shared" si="28"/>
        <v>0</v>
      </c>
      <c r="P74" s="23"/>
      <c r="Q74" s="23"/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3"/>
      <c r="N75" s="23"/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3"/>
      <c r="N76" s="23"/>
      <c r="O76" s="16">
        <f t="shared" si="28"/>
        <v>0</v>
      </c>
      <c r="P76" s="23"/>
      <c r="Q76" s="23"/>
      <c r="R76" s="16">
        <f t="shared" si="29"/>
        <v>0</v>
      </c>
      <c r="S76" s="23"/>
      <c r="T76" s="23"/>
      <c r="U76" s="16">
        <f t="shared" si="30"/>
        <v>0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3"/>
      <c r="N77" s="23"/>
      <c r="O77" s="16">
        <f t="shared" si="28"/>
        <v>0</v>
      </c>
      <c r="P77" s="23"/>
      <c r="Q77" s="23"/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3"/>
      <c r="N78" s="23"/>
      <c r="O78" s="16">
        <f t="shared" si="28"/>
        <v>0</v>
      </c>
      <c r="P78" s="23"/>
      <c r="Q78" s="23"/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3"/>
      <c r="N79" s="23"/>
      <c r="O79" s="16">
        <f t="shared" si="28"/>
        <v>0</v>
      </c>
      <c r="P79" s="23"/>
      <c r="Q79" s="23"/>
      <c r="R79" s="16">
        <f t="shared" si="29"/>
        <v>0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86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0</v>
      </c>
      <c r="E8" s="16">
        <f t="shared" si="1"/>
        <v>0</v>
      </c>
      <c r="F8" s="16">
        <f t="shared" si="1"/>
        <v>0</v>
      </c>
      <c r="G8" s="16">
        <f t="shared" si="1"/>
        <v>0</v>
      </c>
      <c r="H8" s="16">
        <f t="shared" si="1"/>
        <v>0</v>
      </c>
      <c r="I8" s="16">
        <f t="shared" si="1"/>
        <v>0</v>
      </c>
      <c r="J8" s="16">
        <f t="shared" si="1"/>
        <v>0</v>
      </c>
      <c r="K8" s="16">
        <f t="shared" si="1"/>
        <v>0</v>
      </c>
      <c r="L8" s="16">
        <f t="shared" si="1"/>
        <v>0</v>
      </c>
      <c r="M8" s="16">
        <f t="shared" si="1"/>
        <v>0</v>
      </c>
      <c r="N8" s="16">
        <f t="shared" si="1"/>
        <v>0</v>
      </c>
      <c r="O8" s="16">
        <f t="shared" si="1"/>
        <v>0</v>
      </c>
      <c r="P8" s="16">
        <f t="shared" si="1"/>
        <v>0</v>
      </c>
      <c r="Q8" s="16">
        <f t="shared" si="1"/>
        <v>0</v>
      </c>
      <c r="R8" s="16">
        <f t="shared" si="1"/>
        <v>0</v>
      </c>
      <c r="S8" s="16">
        <f t="shared" si="1"/>
        <v>0</v>
      </c>
      <c r="T8" s="16">
        <f t="shared" si="1"/>
        <v>0</v>
      </c>
      <c r="U8" s="16">
        <f t="shared" si="1"/>
        <v>0</v>
      </c>
    </row>
    <row r="9">
      <c r="A9" s="17">
        <v>2.0</v>
      </c>
      <c r="B9" s="18" t="s">
        <v>15</v>
      </c>
      <c r="C9" s="9"/>
      <c r="D9" s="16">
        <f t="shared" ref="D9:U9" si="2">SUM(D10:D17)</f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</row>
    <row r="10">
      <c r="A10" s="19"/>
      <c r="B10" s="20" t="s">
        <v>16</v>
      </c>
      <c r="C10" s="21" t="s">
        <v>17</v>
      </c>
      <c r="D10" s="23"/>
      <c r="E10" s="23"/>
      <c r="F10" s="16">
        <f t="shared" ref="F10:F17" si="3">SUM(D10:E10)</f>
        <v>0</v>
      </c>
      <c r="G10" s="23"/>
      <c r="H10" s="23"/>
      <c r="I10" s="16">
        <f t="shared" ref="I10:I17" si="4">SUM(G10:H10)</f>
        <v>0</v>
      </c>
      <c r="J10" s="23"/>
      <c r="K10" s="23"/>
      <c r="L10" s="16">
        <f t="shared" ref="L10:L17" si="5">SUM(J10:K10)</f>
        <v>0</v>
      </c>
      <c r="M10" s="23"/>
      <c r="N10" s="23"/>
      <c r="O10" s="16">
        <f t="shared" ref="O10:O17" si="6">SUM(M10:N10)</f>
        <v>0</v>
      </c>
      <c r="P10" s="23"/>
      <c r="Q10" s="23"/>
      <c r="R10" s="16">
        <f t="shared" ref="R10:R17" si="7">SUM(P10:Q10)</f>
        <v>0</v>
      </c>
      <c r="S10" s="23"/>
      <c r="T10" s="23"/>
      <c r="U10" s="16">
        <f t="shared" ref="U10:U17" si="8">SUM(S10:T10)</f>
        <v>0</v>
      </c>
    </row>
    <row r="11">
      <c r="A11" s="19"/>
      <c r="B11" s="20" t="s">
        <v>19</v>
      </c>
      <c r="C11" s="21" t="s">
        <v>20</v>
      </c>
      <c r="D11" s="23"/>
      <c r="E11" s="23"/>
      <c r="F11" s="16">
        <f t="shared" si="3"/>
        <v>0</v>
      </c>
      <c r="G11" s="23"/>
      <c r="H11" s="23"/>
      <c r="I11" s="16">
        <f t="shared" si="4"/>
        <v>0</v>
      </c>
      <c r="J11" s="23"/>
      <c r="K11" s="23"/>
      <c r="L11" s="16">
        <f t="shared" si="5"/>
        <v>0</v>
      </c>
      <c r="M11" s="23"/>
      <c r="N11" s="23"/>
      <c r="O11" s="16">
        <f t="shared" si="6"/>
        <v>0</v>
      </c>
      <c r="P11" s="23"/>
      <c r="Q11" s="23"/>
      <c r="R11" s="16">
        <f t="shared" si="7"/>
        <v>0</v>
      </c>
      <c r="S11" s="23"/>
      <c r="T11" s="23"/>
      <c r="U11" s="16">
        <f t="shared" si="8"/>
        <v>0</v>
      </c>
    </row>
    <row r="12">
      <c r="A12" s="19"/>
      <c r="B12" s="20" t="s">
        <v>22</v>
      </c>
      <c r="C12" s="21" t="s">
        <v>23</v>
      </c>
      <c r="D12" s="23"/>
      <c r="E12" s="23"/>
      <c r="F12" s="16">
        <f t="shared" si="3"/>
        <v>0</v>
      </c>
      <c r="G12" s="23"/>
      <c r="H12" s="23"/>
      <c r="I12" s="16">
        <f t="shared" si="4"/>
        <v>0</v>
      </c>
      <c r="J12" s="23"/>
      <c r="K12" s="23"/>
      <c r="L12" s="16">
        <f t="shared" si="5"/>
        <v>0</v>
      </c>
      <c r="M12" s="23"/>
      <c r="N12" s="23"/>
      <c r="O12" s="16">
        <f t="shared" si="6"/>
        <v>0</v>
      </c>
      <c r="P12" s="23"/>
      <c r="Q12" s="23"/>
      <c r="R12" s="16">
        <f t="shared" si="7"/>
        <v>0</v>
      </c>
      <c r="S12" s="23"/>
      <c r="T12" s="23"/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3"/>
      <c r="E13" s="23"/>
      <c r="F13" s="16">
        <f t="shared" si="3"/>
        <v>0</v>
      </c>
      <c r="G13" s="23"/>
      <c r="H13" s="23"/>
      <c r="I13" s="16">
        <f t="shared" si="4"/>
        <v>0</v>
      </c>
      <c r="J13" s="23"/>
      <c r="K13" s="23"/>
      <c r="L13" s="16">
        <f t="shared" si="5"/>
        <v>0</v>
      </c>
      <c r="M13" s="23"/>
      <c r="N13" s="23"/>
      <c r="O13" s="16">
        <f t="shared" si="6"/>
        <v>0</v>
      </c>
      <c r="P13" s="23"/>
      <c r="Q13" s="23"/>
      <c r="R13" s="16">
        <f t="shared" si="7"/>
        <v>0</v>
      </c>
      <c r="S13" s="23"/>
      <c r="T13" s="23"/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3"/>
      <c r="E14" s="23"/>
      <c r="F14" s="16">
        <f t="shared" si="3"/>
        <v>0</v>
      </c>
      <c r="G14" s="23"/>
      <c r="H14" s="23"/>
      <c r="I14" s="16">
        <f t="shared" si="4"/>
        <v>0</v>
      </c>
      <c r="J14" s="23"/>
      <c r="K14" s="23"/>
      <c r="L14" s="16">
        <f t="shared" si="5"/>
        <v>0</v>
      </c>
      <c r="M14" s="23"/>
      <c r="N14" s="23"/>
      <c r="O14" s="16">
        <f t="shared" si="6"/>
        <v>0</v>
      </c>
      <c r="P14" s="23"/>
      <c r="Q14" s="23"/>
      <c r="R14" s="16">
        <f t="shared" si="7"/>
        <v>0</v>
      </c>
      <c r="S14" s="23"/>
      <c r="T14" s="23"/>
      <c r="U14" s="16">
        <f t="shared" si="8"/>
        <v>0</v>
      </c>
    </row>
    <row r="15">
      <c r="A15" s="19"/>
      <c r="B15" s="20" t="s">
        <v>29</v>
      </c>
      <c r="C15" s="21" t="s">
        <v>30</v>
      </c>
      <c r="D15" s="23"/>
      <c r="E15" s="23"/>
      <c r="F15" s="16">
        <f t="shared" si="3"/>
        <v>0</v>
      </c>
      <c r="G15" s="23"/>
      <c r="H15" s="23"/>
      <c r="I15" s="16">
        <f t="shared" si="4"/>
        <v>0</v>
      </c>
      <c r="J15" s="23"/>
      <c r="K15" s="23"/>
      <c r="L15" s="16">
        <f t="shared" si="5"/>
        <v>0</v>
      </c>
      <c r="M15" s="23"/>
      <c r="N15" s="23"/>
      <c r="O15" s="16">
        <f t="shared" si="6"/>
        <v>0</v>
      </c>
      <c r="P15" s="23"/>
      <c r="Q15" s="23"/>
      <c r="R15" s="16">
        <f t="shared" si="7"/>
        <v>0</v>
      </c>
      <c r="S15" s="23"/>
      <c r="T15" s="23"/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3"/>
      <c r="E16" s="23"/>
      <c r="F16" s="16">
        <f t="shared" si="3"/>
        <v>0</v>
      </c>
      <c r="G16" s="23"/>
      <c r="H16" s="23"/>
      <c r="I16" s="16">
        <f t="shared" si="4"/>
        <v>0</v>
      </c>
      <c r="J16" s="23"/>
      <c r="K16" s="23"/>
      <c r="L16" s="16">
        <f t="shared" si="5"/>
        <v>0</v>
      </c>
      <c r="M16" s="23"/>
      <c r="N16" s="23"/>
      <c r="O16" s="16">
        <f t="shared" si="6"/>
        <v>0</v>
      </c>
      <c r="P16" s="23"/>
      <c r="Q16" s="23"/>
      <c r="R16" s="16">
        <f t="shared" si="7"/>
        <v>0</v>
      </c>
      <c r="S16" s="23"/>
      <c r="T16" s="23"/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3"/>
      <c r="E17" s="23"/>
      <c r="F17" s="16">
        <f t="shared" si="3"/>
        <v>0</v>
      </c>
      <c r="G17" s="23"/>
      <c r="H17" s="23"/>
      <c r="I17" s="16">
        <f t="shared" si="4"/>
        <v>0</v>
      </c>
      <c r="J17" s="23"/>
      <c r="K17" s="23"/>
      <c r="L17" s="16">
        <f t="shared" si="5"/>
        <v>0</v>
      </c>
      <c r="M17" s="23"/>
      <c r="N17" s="23"/>
      <c r="O17" s="16">
        <f t="shared" si="6"/>
        <v>0</v>
      </c>
      <c r="P17" s="23"/>
      <c r="Q17" s="23"/>
      <c r="R17" s="16">
        <f t="shared" si="7"/>
        <v>0</v>
      </c>
      <c r="S17" s="23"/>
      <c r="T17" s="23"/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0</v>
      </c>
      <c r="E18" s="16">
        <f t="shared" si="9"/>
        <v>0</v>
      </c>
      <c r="F18" s="16">
        <f t="shared" si="9"/>
        <v>0</v>
      </c>
      <c r="G18" s="16">
        <f t="shared" si="9"/>
        <v>0</v>
      </c>
      <c r="H18" s="16">
        <f t="shared" si="9"/>
        <v>0</v>
      </c>
      <c r="I18" s="16">
        <f t="shared" si="9"/>
        <v>0</v>
      </c>
      <c r="J18" s="16">
        <f t="shared" si="9"/>
        <v>0</v>
      </c>
      <c r="K18" s="16">
        <f t="shared" si="9"/>
        <v>0</v>
      </c>
      <c r="L18" s="16">
        <f t="shared" si="9"/>
        <v>0</v>
      </c>
      <c r="M18" s="16">
        <f t="shared" si="9"/>
        <v>0</v>
      </c>
      <c r="N18" s="16">
        <f t="shared" si="9"/>
        <v>0</v>
      </c>
      <c r="O18" s="16">
        <f t="shared" si="9"/>
        <v>0</v>
      </c>
      <c r="P18" s="16">
        <f t="shared" si="9"/>
        <v>0</v>
      </c>
      <c r="Q18" s="16">
        <f t="shared" si="9"/>
        <v>0</v>
      </c>
      <c r="R18" s="16">
        <f t="shared" si="9"/>
        <v>0</v>
      </c>
      <c r="S18" s="16">
        <f t="shared" si="9"/>
        <v>0</v>
      </c>
      <c r="T18" s="16">
        <f t="shared" si="9"/>
        <v>0</v>
      </c>
      <c r="U18" s="16">
        <f t="shared" si="9"/>
        <v>0</v>
      </c>
    </row>
    <row r="19">
      <c r="A19" s="19"/>
      <c r="B19" s="20" t="s">
        <v>16</v>
      </c>
      <c r="C19" s="21" t="s">
        <v>36</v>
      </c>
      <c r="D19" s="23"/>
      <c r="E19" s="23"/>
      <c r="F19" s="16">
        <f t="shared" ref="F19:F41" si="10">SUM(D19:E19)</f>
        <v>0</v>
      </c>
      <c r="G19" s="23"/>
      <c r="H19" s="23"/>
      <c r="I19" s="16">
        <f t="shared" ref="I19:I41" si="11">SUM(G19:H19)</f>
        <v>0</v>
      </c>
      <c r="J19" s="23"/>
      <c r="K19" s="23"/>
      <c r="L19" s="16">
        <f t="shared" ref="L19:L41" si="12">SUM(J19:K19)</f>
        <v>0</v>
      </c>
      <c r="M19" s="23"/>
      <c r="N19" s="23"/>
      <c r="O19" s="16">
        <f t="shared" ref="O19:O41" si="13">SUM(M19:N19)</f>
        <v>0</v>
      </c>
      <c r="P19" s="23"/>
      <c r="Q19" s="23"/>
      <c r="R19" s="16">
        <f t="shared" ref="R19:R41" si="14">SUM(P19:Q19)</f>
        <v>0</v>
      </c>
      <c r="S19" s="23"/>
      <c r="T19" s="23"/>
      <c r="U19" s="16">
        <f t="shared" ref="U19:U41" si="15">SUM(S19:T19)</f>
        <v>0</v>
      </c>
    </row>
    <row r="20">
      <c r="A20" s="19"/>
      <c r="B20" s="20" t="s">
        <v>19</v>
      </c>
      <c r="C20" s="21" t="s">
        <v>37</v>
      </c>
      <c r="D20" s="23"/>
      <c r="E20" s="23"/>
      <c r="F20" s="16">
        <f t="shared" si="10"/>
        <v>0</v>
      </c>
      <c r="G20" s="23"/>
      <c r="H20" s="23"/>
      <c r="I20" s="16">
        <f t="shared" si="11"/>
        <v>0</v>
      </c>
      <c r="J20" s="23"/>
      <c r="K20" s="23"/>
      <c r="L20" s="16">
        <f t="shared" si="12"/>
        <v>0</v>
      </c>
      <c r="M20" s="23"/>
      <c r="N20" s="23"/>
      <c r="O20" s="16">
        <f t="shared" si="13"/>
        <v>0</v>
      </c>
      <c r="P20" s="23"/>
      <c r="Q20" s="23"/>
      <c r="R20" s="16">
        <f t="shared" si="14"/>
        <v>0</v>
      </c>
      <c r="S20" s="23"/>
      <c r="T20" s="23"/>
      <c r="U20" s="16">
        <f t="shared" si="15"/>
        <v>0</v>
      </c>
    </row>
    <row r="21">
      <c r="A21" s="19"/>
      <c r="B21" s="20" t="s">
        <v>22</v>
      </c>
      <c r="C21" s="21" t="s">
        <v>38</v>
      </c>
      <c r="D21" s="23"/>
      <c r="E21" s="23"/>
      <c r="F21" s="16">
        <f t="shared" si="10"/>
        <v>0</v>
      </c>
      <c r="G21" s="23"/>
      <c r="H21" s="23"/>
      <c r="I21" s="16">
        <f t="shared" si="11"/>
        <v>0</v>
      </c>
      <c r="J21" s="23"/>
      <c r="K21" s="23"/>
      <c r="L21" s="16">
        <f t="shared" si="12"/>
        <v>0</v>
      </c>
      <c r="M21" s="23"/>
      <c r="N21" s="23"/>
      <c r="O21" s="16">
        <f t="shared" si="13"/>
        <v>0</v>
      </c>
      <c r="P21" s="23"/>
      <c r="Q21" s="23"/>
      <c r="R21" s="16">
        <f t="shared" si="14"/>
        <v>0</v>
      </c>
      <c r="S21" s="23"/>
      <c r="T21" s="23"/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3"/>
      <c r="E22" s="23"/>
      <c r="F22" s="16">
        <f t="shared" si="10"/>
        <v>0</v>
      </c>
      <c r="G22" s="23"/>
      <c r="H22" s="23"/>
      <c r="I22" s="16">
        <f t="shared" si="11"/>
        <v>0</v>
      </c>
      <c r="J22" s="23"/>
      <c r="K22" s="23"/>
      <c r="L22" s="16">
        <f t="shared" si="12"/>
        <v>0</v>
      </c>
      <c r="M22" s="23"/>
      <c r="N22" s="23"/>
      <c r="O22" s="16">
        <f t="shared" si="13"/>
        <v>0</v>
      </c>
      <c r="P22" s="23"/>
      <c r="Q22" s="23"/>
      <c r="R22" s="16">
        <f t="shared" si="14"/>
        <v>0</v>
      </c>
      <c r="S22" s="23"/>
      <c r="T22" s="23"/>
      <c r="U22" s="16">
        <f t="shared" si="15"/>
        <v>0</v>
      </c>
    </row>
    <row r="23">
      <c r="A23" s="19"/>
      <c r="B23" s="20" t="s">
        <v>27</v>
      </c>
      <c r="C23" s="21" t="s">
        <v>80</v>
      </c>
      <c r="D23" s="23"/>
      <c r="E23" s="23"/>
      <c r="F23" s="16">
        <f t="shared" si="10"/>
        <v>0</v>
      </c>
      <c r="G23" s="23"/>
      <c r="H23" s="23"/>
      <c r="I23" s="16">
        <f t="shared" si="11"/>
        <v>0</v>
      </c>
      <c r="J23" s="23"/>
      <c r="K23" s="23"/>
      <c r="L23" s="16">
        <f t="shared" si="12"/>
        <v>0</v>
      </c>
      <c r="M23" s="23"/>
      <c r="N23" s="23"/>
      <c r="O23" s="16">
        <f t="shared" si="13"/>
        <v>0</v>
      </c>
      <c r="P23" s="23"/>
      <c r="Q23" s="23"/>
      <c r="R23" s="16">
        <f t="shared" si="14"/>
        <v>0</v>
      </c>
      <c r="S23" s="23"/>
      <c r="T23" s="23"/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3"/>
      <c r="H24" s="23"/>
      <c r="I24" s="16">
        <f t="shared" si="11"/>
        <v>0</v>
      </c>
      <c r="J24" s="23"/>
      <c r="K24" s="23"/>
      <c r="L24" s="16">
        <f t="shared" si="12"/>
        <v>0</v>
      </c>
      <c r="M24" s="23"/>
      <c r="N24" s="23"/>
      <c r="O24" s="16">
        <f t="shared" si="13"/>
        <v>0</v>
      </c>
      <c r="P24" s="23"/>
      <c r="Q24" s="23"/>
      <c r="R24" s="16">
        <f t="shared" si="14"/>
        <v>0</v>
      </c>
      <c r="S24" s="23"/>
      <c r="T24" s="23"/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3"/>
      <c r="E25" s="23"/>
      <c r="F25" s="16">
        <f t="shared" si="10"/>
        <v>0</v>
      </c>
      <c r="G25" s="23"/>
      <c r="H25" s="23"/>
      <c r="I25" s="16">
        <f t="shared" si="11"/>
        <v>0</v>
      </c>
      <c r="J25" s="23"/>
      <c r="K25" s="23"/>
      <c r="L25" s="16">
        <f t="shared" si="12"/>
        <v>0</v>
      </c>
      <c r="M25" s="23"/>
      <c r="N25" s="23"/>
      <c r="O25" s="16">
        <f t="shared" si="13"/>
        <v>0</v>
      </c>
      <c r="P25" s="23"/>
      <c r="Q25" s="23"/>
      <c r="R25" s="16">
        <f t="shared" si="14"/>
        <v>0</v>
      </c>
      <c r="S25" s="23"/>
      <c r="T25" s="23"/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3"/>
      <c r="E26" s="23"/>
      <c r="F26" s="16">
        <f t="shared" si="10"/>
        <v>0</v>
      </c>
      <c r="G26" s="23"/>
      <c r="H26" s="23"/>
      <c r="I26" s="16">
        <f t="shared" si="11"/>
        <v>0</v>
      </c>
      <c r="J26" s="23"/>
      <c r="K26" s="23"/>
      <c r="L26" s="16">
        <f t="shared" si="12"/>
        <v>0</v>
      </c>
      <c r="M26" s="23"/>
      <c r="N26" s="23"/>
      <c r="O26" s="16">
        <f t="shared" si="13"/>
        <v>0</v>
      </c>
      <c r="P26" s="23"/>
      <c r="Q26" s="23"/>
      <c r="R26" s="16">
        <f t="shared" si="14"/>
        <v>0</v>
      </c>
      <c r="S26" s="23"/>
      <c r="T26" s="23"/>
      <c r="U26" s="16">
        <f t="shared" si="15"/>
        <v>0</v>
      </c>
    </row>
    <row r="27">
      <c r="A27" s="19"/>
      <c r="B27" s="20" t="s">
        <v>44</v>
      </c>
      <c r="C27" s="21" t="s">
        <v>45</v>
      </c>
      <c r="D27" s="23"/>
      <c r="E27" s="23"/>
      <c r="F27" s="16">
        <f t="shared" si="10"/>
        <v>0</v>
      </c>
      <c r="G27" s="23"/>
      <c r="H27" s="23"/>
      <c r="I27" s="16">
        <f t="shared" si="11"/>
        <v>0</v>
      </c>
      <c r="J27" s="23"/>
      <c r="K27" s="23"/>
      <c r="L27" s="16">
        <f t="shared" si="12"/>
        <v>0</v>
      </c>
      <c r="M27" s="23"/>
      <c r="N27" s="23"/>
      <c r="O27" s="16">
        <f t="shared" si="13"/>
        <v>0</v>
      </c>
      <c r="P27" s="23"/>
      <c r="Q27" s="23"/>
      <c r="R27" s="16">
        <f t="shared" si="14"/>
        <v>0</v>
      </c>
      <c r="S27" s="23"/>
      <c r="T27" s="23"/>
      <c r="U27" s="16">
        <f t="shared" si="15"/>
        <v>0</v>
      </c>
    </row>
    <row r="28">
      <c r="A28" s="19"/>
      <c r="B28" s="20" t="s">
        <v>46</v>
      </c>
      <c r="C28" s="21" t="s">
        <v>47</v>
      </c>
      <c r="D28" s="23"/>
      <c r="E28" s="23"/>
      <c r="F28" s="16">
        <f t="shared" si="10"/>
        <v>0</v>
      </c>
      <c r="G28" s="23"/>
      <c r="H28" s="23"/>
      <c r="I28" s="16">
        <f t="shared" si="11"/>
        <v>0</v>
      </c>
      <c r="J28" s="23"/>
      <c r="K28" s="23"/>
      <c r="L28" s="16">
        <f t="shared" si="12"/>
        <v>0</v>
      </c>
      <c r="M28" s="23"/>
      <c r="N28" s="23"/>
      <c r="O28" s="16">
        <f t="shared" si="13"/>
        <v>0</v>
      </c>
      <c r="P28" s="23"/>
      <c r="Q28" s="23"/>
      <c r="R28" s="16">
        <f t="shared" si="14"/>
        <v>0</v>
      </c>
      <c r="S28" s="23"/>
      <c r="T28" s="23"/>
      <c r="U28" s="16">
        <f t="shared" si="15"/>
        <v>0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3"/>
      <c r="H29" s="23"/>
      <c r="I29" s="16">
        <f t="shared" si="11"/>
        <v>0</v>
      </c>
      <c r="J29" s="23"/>
      <c r="K29" s="23"/>
      <c r="L29" s="16">
        <f t="shared" si="12"/>
        <v>0</v>
      </c>
      <c r="M29" s="23"/>
      <c r="N29" s="23"/>
      <c r="O29" s="16">
        <f t="shared" si="13"/>
        <v>0</v>
      </c>
      <c r="P29" s="23"/>
      <c r="Q29" s="23"/>
      <c r="R29" s="16">
        <f t="shared" si="14"/>
        <v>0</v>
      </c>
      <c r="S29" s="23"/>
      <c r="T29" s="23"/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3"/>
      <c r="E30" s="23"/>
      <c r="F30" s="16">
        <f t="shared" si="10"/>
        <v>0</v>
      </c>
      <c r="G30" s="23"/>
      <c r="H30" s="23"/>
      <c r="I30" s="16">
        <f t="shared" si="11"/>
        <v>0</v>
      </c>
      <c r="J30" s="23"/>
      <c r="K30" s="23"/>
      <c r="L30" s="16">
        <f t="shared" si="12"/>
        <v>0</v>
      </c>
      <c r="M30" s="23"/>
      <c r="N30" s="23"/>
      <c r="O30" s="16">
        <f t="shared" si="13"/>
        <v>0</v>
      </c>
      <c r="P30" s="23"/>
      <c r="Q30" s="23"/>
      <c r="R30" s="16">
        <f t="shared" si="14"/>
        <v>0</v>
      </c>
      <c r="S30" s="23"/>
      <c r="T30" s="23"/>
      <c r="U30" s="16">
        <f t="shared" si="15"/>
        <v>0</v>
      </c>
    </row>
    <row r="31">
      <c r="A31" s="19"/>
      <c r="B31" s="20" t="s">
        <v>52</v>
      </c>
      <c r="C31" s="21" t="s">
        <v>53</v>
      </c>
      <c r="D31" s="23"/>
      <c r="E31" s="23"/>
      <c r="F31" s="16">
        <f t="shared" si="10"/>
        <v>0</v>
      </c>
      <c r="G31" s="23"/>
      <c r="H31" s="23"/>
      <c r="I31" s="16">
        <f t="shared" si="11"/>
        <v>0</v>
      </c>
      <c r="J31" s="23"/>
      <c r="K31" s="23"/>
      <c r="L31" s="16">
        <f t="shared" si="12"/>
        <v>0</v>
      </c>
      <c r="M31" s="23"/>
      <c r="N31" s="23"/>
      <c r="O31" s="16">
        <f t="shared" si="13"/>
        <v>0</v>
      </c>
      <c r="P31" s="23"/>
      <c r="Q31" s="23"/>
      <c r="R31" s="16">
        <f t="shared" si="14"/>
        <v>0</v>
      </c>
      <c r="S31" s="23"/>
      <c r="T31" s="23"/>
      <c r="U31" s="16">
        <f t="shared" si="15"/>
        <v>0</v>
      </c>
    </row>
    <row r="32">
      <c r="A32" s="19"/>
      <c r="B32" s="20" t="s">
        <v>54</v>
      </c>
      <c r="C32" s="21" t="s">
        <v>55</v>
      </c>
      <c r="D32" s="23"/>
      <c r="E32" s="23"/>
      <c r="F32" s="16">
        <f t="shared" si="10"/>
        <v>0</v>
      </c>
      <c r="G32" s="23"/>
      <c r="H32" s="23"/>
      <c r="I32" s="16">
        <f t="shared" si="11"/>
        <v>0</v>
      </c>
      <c r="J32" s="23"/>
      <c r="K32" s="23"/>
      <c r="L32" s="16">
        <f t="shared" si="12"/>
        <v>0</v>
      </c>
      <c r="M32" s="23"/>
      <c r="N32" s="23"/>
      <c r="O32" s="16">
        <f t="shared" si="13"/>
        <v>0</v>
      </c>
      <c r="P32" s="23"/>
      <c r="Q32" s="23"/>
      <c r="R32" s="16">
        <f t="shared" si="14"/>
        <v>0</v>
      </c>
      <c r="S32" s="23"/>
      <c r="T32" s="23"/>
      <c r="U32" s="16">
        <f t="shared" si="15"/>
        <v>0</v>
      </c>
    </row>
    <row r="33">
      <c r="A33" s="19"/>
      <c r="B33" s="20" t="s">
        <v>56</v>
      </c>
      <c r="C33" s="21" t="s">
        <v>57</v>
      </c>
      <c r="D33" s="23"/>
      <c r="E33" s="23"/>
      <c r="F33" s="16">
        <f t="shared" si="10"/>
        <v>0</v>
      </c>
      <c r="G33" s="23"/>
      <c r="H33" s="23"/>
      <c r="I33" s="16">
        <f t="shared" si="11"/>
        <v>0</v>
      </c>
      <c r="J33" s="23"/>
      <c r="K33" s="23"/>
      <c r="L33" s="16">
        <f t="shared" si="12"/>
        <v>0</v>
      </c>
      <c r="M33" s="23"/>
      <c r="N33" s="23"/>
      <c r="O33" s="16">
        <f t="shared" si="13"/>
        <v>0</v>
      </c>
      <c r="P33" s="23"/>
      <c r="Q33" s="23"/>
      <c r="R33" s="16">
        <f t="shared" si="14"/>
        <v>0</v>
      </c>
      <c r="S33" s="23"/>
      <c r="T33" s="23"/>
      <c r="U33" s="16">
        <f t="shared" si="15"/>
        <v>0</v>
      </c>
    </row>
    <row r="34">
      <c r="A34" s="19"/>
      <c r="B34" s="20" t="s">
        <v>58</v>
      </c>
      <c r="C34" s="21" t="s">
        <v>59</v>
      </c>
      <c r="D34" s="23"/>
      <c r="E34" s="23"/>
      <c r="F34" s="16">
        <f t="shared" si="10"/>
        <v>0</v>
      </c>
      <c r="G34" s="23"/>
      <c r="H34" s="23"/>
      <c r="I34" s="16">
        <f t="shared" si="11"/>
        <v>0</v>
      </c>
      <c r="J34" s="23"/>
      <c r="K34" s="23"/>
      <c r="L34" s="16">
        <f t="shared" si="12"/>
        <v>0</v>
      </c>
      <c r="M34" s="23"/>
      <c r="N34" s="23"/>
      <c r="O34" s="16">
        <f t="shared" si="13"/>
        <v>0</v>
      </c>
      <c r="P34" s="23"/>
      <c r="Q34" s="23"/>
      <c r="R34" s="16">
        <f t="shared" si="14"/>
        <v>0</v>
      </c>
      <c r="S34" s="23"/>
      <c r="T34" s="23"/>
      <c r="U34" s="16">
        <f t="shared" si="15"/>
        <v>0</v>
      </c>
    </row>
    <row r="35">
      <c r="A35" s="19"/>
      <c r="B35" s="20" t="s">
        <v>60</v>
      </c>
      <c r="C35" s="21" t="s">
        <v>61</v>
      </c>
      <c r="D35" s="23"/>
      <c r="E35" s="23"/>
      <c r="F35" s="16">
        <f t="shared" si="10"/>
        <v>0</v>
      </c>
      <c r="G35" s="23"/>
      <c r="H35" s="23"/>
      <c r="I35" s="16">
        <f t="shared" si="11"/>
        <v>0</v>
      </c>
      <c r="J35" s="23"/>
      <c r="K35" s="23"/>
      <c r="L35" s="16">
        <f t="shared" si="12"/>
        <v>0</v>
      </c>
      <c r="M35" s="23"/>
      <c r="N35" s="23"/>
      <c r="O35" s="16">
        <f t="shared" si="13"/>
        <v>0</v>
      </c>
      <c r="P35" s="23"/>
      <c r="Q35" s="23"/>
      <c r="R35" s="16">
        <f t="shared" si="14"/>
        <v>0</v>
      </c>
      <c r="S35" s="23"/>
      <c r="T35" s="23"/>
      <c r="U35" s="16">
        <f t="shared" si="15"/>
        <v>0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3"/>
      <c r="H36" s="23"/>
      <c r="I36" s="16">
        <f t="shared" si="11"/>
        <v>0</v>
      </c>
      <c r="J36" s="23"/>
      <c r="K36" s="23"/>
      <c r="L36" s="16">
        <f t="shared" si="12"/>
        <v>0</v>
      </c>
      <c r="M36" s="23"/>
      <c r="N36" s="23"/>
      <c r="O36" s="16">
        <f t="shared" si="13"/>
        <v>0</v>
      </c>
      <c r="P36" s="23"/>
      <c r="Q36" s="23"/>
      <c r="R36" s="16">
        <f t="shared" si="14"/>
        <v>0</v>
      </c>
      <c r="S36" s="23"/>
      <c r="T36" s="23"/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3"/>
      <c r="H37" s="23"/>
      <c r="I37" s="16">
        <f t="shared" si="11"/>
        <v>0</v>
      </c>
      <c r="J37" s="23"/>
      <c r="K37" s="23"/>
      <c r="L37" s="16">
        <f t="shared" si="12"/>
        <v>0</v>
      </c>
      <c r="M37" s="23"/>
      <c r="N37" s="23"/>
      <c r="O37" s="16">
        <f t="shared" si="13"/>
        <v>0</v>
      </c>
      <c r="P37" s="23"/>
      <c r="Q37" s="23"/>
      <c r="R37" s="16">
        <f t="shared" si="14"/>
        <v>0</v>
      </c>
      <c r="S37" s="23"/>
      <c r="T37" s="23"/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3"/>
      <c r="F38" s="16">
        <f t="shared" si="10"/>
        <v>0</v>
      </c>
      <c r="G38" s="23"/>
      <c r="H38" s="23"/>
      <c r="I38" s="16">
        <f t="shared" si="11"/>
        <v>0</v>
      </c>
      <c r="J38" s="23"/>
      <c r="K38" s="23"/>
      <c r="L38" s="16">
        <f t="shared" si="12"/>
        <v>0</v>
      </c>
      <c r="M38" s="23"/>
      <c r="N38" s="23"/>
      <c r="O38" s="16">
        <f t="shared" si="13"/>
        <v>0</v>
      </c>
      <c r="P38" s="23"/>
      <c r="Q38" s="23"/>
      <c r="R38" s="16">
        <f t="shared" si="14"/>
        <v>0</v>
      </c>
      <c r="S38" s="23"/>
      <c r="T38" s="23"/>
      <c r="U38" s="16">
        <f t="shared" si="15"/>
        <v>0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3"/>
      <c r="H39" s="23"/>
      <c r="I39" s="16">
        <f t="shared" si="11"/>
        <v>0</v>
      </c>
      <c r="J39" s="23"/>
      <c r="K39" s="23"/>
      <c r="L39" s="16">
        <f t="shared" si="12"/>
        <v>0</v>
      </c>
      <c r="M39" s="23"/>
      <c r="N39" s="23"/>
      <c r="O39" s="16">
        <f t="shared" si="13"/>
        <v>0</v>
      </c>
      <c r="P39" s="23"/>
      <c r="Q39" s="23"/>
      <c r="R39" s="16">
        <f t="shared" si="14"/>
        <v>0</v>
      </c>
      <c r="S39" s="23"/>
      <c r="T39" s="23"/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3"/>
      <c r="H40" s="23"/>
      <c r="I40" s="16">
        <f t="shared" si="11"/>
        <v>0</v>
      </c>
      <c r="J40" s="23"/>
      <c r="K40" s="23"/>
      <c r="L40" s="16">
        <f t="shared" si="12"/>
        <v>0</v>
      </c>
      <c r="M40" s="23"/>
      <c r="N40" s="23"/>
      <c r="O40" s="16">
        <f t="shared" si="13"/>
        <v>0</v>
      </c>
      <c r="P40" s="23"/>
      <c r="Q40" s="23"/>
      <c r="R40" s="16">
        <f t="shared" si="14"/>
        <v>0</v>
      </c>
      <c r="S40" s="23"/>
      <c r="T40" s="23"/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3"/>
      <c r="H41" s="23"/>
      <c r="I41" s="16">
        <f t="shared" si="11"/>
        <v>0</v>
      </c>
      <c r="J41" s="23"/>
      <c r="K41" s="23"/>
      <c r="L41" s="16">
        <f t="shared" si="12"/>
        <v>0</v>
      </c>
      <c r="M41" s="23"/>
      <c r="N41" s="23"/>
      <c r="O41" s="16">
        <f t="shared" si="13"/>
        <v>0</v>
      </c>
      <c r="P41" s="23"/>
      <c r="Q41" s="23"/>
      <c r="R41" s="16">
        <f t="shared" si="14"/>
        <v>0</v>
      </c>
      <c r="S41" s="23"/>
      <c r="T41" s="23"/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0</v>
      </c>
      <c r="N46" s="16">
        <f t="shared" si="16"/>
        <v>0</v>
      </c>
      <c r="O46" s="16">
        <f t="shared" si="16"/>
        <v>0</v>
      </c>
      <c r="P46" s="16">
        <f t="shared" si="16"/>
        <v>0</v>
      </c>
      <c r="Q46" s="16">
        <f t="shared" si="16"/>
        <v>0</v>
      </c>
      <c r="R46" s="16">
        <f t="shared" si="16"/>
        <v>0</v>
      </c>
      <c r="S46" s="16">
        <f t="shared" si="16"/>
        <v>0</v>
      </c>
      <c r="T46" s="16">
        <f t="shared" si="16"/>
        <v>0</v>
      </c>
      <c r="U46" s="16">
        <f t="shared" si="16"/>
        <v>0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0</v>
      </c>
      <c r="N47" s="16">
        <f t="shared" si="17"/>
        <v>0</v>
      </c>
      <c r="O47" s="16">
        <f t="shared" si="17"/>
        <v>0</v>
      </c>
      <c r="P47" s="16">
        <f t="shared" si="17"/>
        <v>0</v>
      </c>
      <c r="Q47" s="16">
        <f t="shared" si="17"/>
        <v>0</v>
      </c>
      <c r="R47" s="16">
        <f t="shared" si="17"/>
        <v>0</v>
      </c>
      <c r="S47" s="16">
        <f t="shared" si="17"/>
        <v>0</v>
      </c>
      <c r="T47" s="16">
        <f t="shared" si="17"/>
        <v>0</v>
      </c>
      <c r="U47" s="16">
        <f t="shared" si="17"/>
        <v>0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3"/>
      <c r="N48" s="23"/>
      <c r="O48" s="16">
        <f t="shared" ref="O48:O55" si="21">SUM(M48:N48)</f>
        <v>0</v>
      </c>
      <c r="P48" s="23"/>
      <c r="Q48" s="23"/>
      <c r="R48" s="16">
        <f t="shared" ref="R48:R55" si="22">SUM(P48:Q48)</f>
        <v>0</v>
      </c>
      <c r="S48" s="23"/>
      <c r="T48" s="23"/>
      <c r="U48" s="16">
        <f t="shared" ref="U48:U55" si="23">SUM(S48:T48)</f>
        <v>0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3"/>
      <c r="N49" s="23"/>
      <c r="O49" s="16">
        <f t="shared" si="21"/>
        <v>0</v>
      </c>
      <c r="P49" s="23"/>
      <c r="Q49" s="23"/>
      <c r="R49" s="16">
        <f t="shared" si="22"/>
        <v>0</v>
      </c>
      <c r="S49" s="23"/>
      <c r="T49" s="23"/>
      <c r="U49" s="16">
        <f t="shared" si="23"/>
        <v>0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3"/>
      <c r="N50" s="23"/>
      <c r="O50" s="16">
        <f t="shared" si="21"/>
        <v>0</v>
      </c>
      <c r="P50" s="23"/>
      <c r="Q50" s="23"/>
      <c r="R50" s="16">
        <f t="shared" si="22"/>
        <v>0</v>
      </c>
      <c r="S50" s="23"/>
      <c r="T50" s="23"/>
      <c r="U50" s="16">
        <f t="shared" si="23"/>
        <v>0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3"/>
      <c r="N51" s="23"/>
      <c r="O51" s="16">
        <f t="shared" si="21"/>
        <v>0</v>
      </c>
      <c r="P51" s="23"/>
      <c r="Q51" s="23"/>
      <c r="R51" s="16">
        <f t="shared" si="22"/>
        <v>0</v>
      </c>
      <c r="S51" s="23"/>
      <c r="T51" s="23"/>
      <c r="U51" s="16">
        <f t="shared" si="23"/>
        <v>0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3"/>
      <c r="N52" s="23"/>
      <c r="O52" s="16">
        <f t="shared" si="21"/>
        <v>0</v>
      </c>
      <c r="P52" s="23"/>
      <c r="Q52" s="23"/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3"/>
      <c r="N53" s="23"/>
      <c r="O53" s="16">
        <f t="shared" si="21"/>
        <v>0</v>
      </c>
      <c r="P53" s="23"/>
      <c r="Q53" s="23"/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3"/>
      <c r="N54" s="23"/>
      <c r="O54" s="16">
        <f t="shared" si="21"/>
        <v>0</v>
      </c>
      <c r="P54" s="23"/>
      <c r="Q54" s="23"/>
      <c r="R54" s="16">
        <f t="shared" si="22"/>
        <v>0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3"/>
      <c r="N55" s="23"/>
      <c r="O55" s="16">
        <f t="shared" si="21"/>
        <v>0</v>
      </c>
      <c r="P55" s="23"/>
      <c r="Q55" s="23"/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0</v>
      </c>
      <c r="N56" s="16">
        <f t="shared" si="24"/>
        <v>0</v>
      </c>
      <c r="O56" s="16">
        <f t="shared" si="24"/>
        <v>0</v>
      </c>
      <c r="P56" s="16">
        <f t="shared" si="24"/>
        <v>0</v>
      </c>
      <c r="Q56" s="16">
        <f t="shared" si="24"/>
        <v>0</v>
      </c>
      <c r="R56" s="16">
        <f t="shared" si="24"/>
        <v>0</v>
      </c>
      <c r="S56" s="16">
        <f t="shared" si="24"/>
        <v>0</v>
      </c>
      <c r="T56" s="16">
        <f t="shared" si="24"/>
        <v>0</v>
      </c>
      <c r="U56" s="16">
        <f t="shared" si="24"/>
        <v>0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3"/>
      <c r="N57" s="23"/>
      <c r="O57" s="16">
        <f t="shared" ref="O57:O79" si="28">SUM(M57:N57)</f>
        <v>0</v>
      </c>
      <c r="P57" s="23"/>
      <c r="Q57" s="23"/>
      <c r="R57" s="16">
        <f t="shared" ref="R57:R79" si="29">SUM(P57:Q57)</f>
        <v>0</v>
      </c>
      <c r="S57" s="23"/>
      <c r="T57" s="23"/>
      <c r="U57" s="16">
        <f t="shared" ref="U57:U79" si="30">SUM(S57:T57)</f>
        <v>0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3"/>
      <c r="N58" s="23"/>
      <c r="O58" s="16">
        <f t="shared" si="28"/>
        <v>0</v>
      </c>
      <c r="P58" s="23"/>
      <c r="Q58" s="23"/>
      <c r="R58" s="16">
        <f t="shared" si="29"/>
        <v>0</v>
      </c>
      <c r="S58" s="23"/>
      <c r="T58" s="23"/>
      <c r="U58" s="16">
        <f t="shared" si="30"/>
        <v>0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3"/>
      <c r="N59" s="23"/>
      <c r="O59" s="16">
        <f t="shared" si="28"/>
        <v>0</v>
      </c>
      <c r="P59" s="23"/>
      <c r="Q59" s="23"/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3"/>
      <c r="N60" s="23"/>
      <c r="O60" s="16">
        <f t="shared" si="28"/>
        <v>0</v>
      </c>
      <c r="P60" s="23"/>
      <c r="Q60" s="23"/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3"/>
      <c r="N61" s="23"/>
      <c r="O61" s="16">
        <f t="shared" si="28"/>
        <v>0</v>
      </c>
      <c r="P61" s="23"/>
      <c r="Q61" s="23"/>
      <c r="R61" s="16">
        <f t="shared" si="29"/>
        <v>0</v>
      </c>
      <c r="S61" s="23"/>
      <c r="T61" s="23"/>
      <c r="U61" s="16">
        <f t="shared" si="30"/>
        <v>0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3"/>
      <c r="N62" s="23"/>
      <c r="O62" s="16">
        <f t="shared" si="28"/>
        <v>0</v>
      </c>
      <c r="P62" s="23"/>
      <c r="Q62" s="23"/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3"/>
      <c r="N63" s="23"/>
      <c r="O63" s="16">
        <f t="shared" si="28"/>
        <v>0</v>
      </c>
      <c r="P63" s="23"/>
      <c r="Q63" s="23"/>
      <c r="R63" s="16">
        <f t="shared" si="29"/>
        <v>0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3"/>
      <c r="N64" s="23"/>
      <c r="O64" s="16">
        <f t="shared" si="28"/>
        <v>0</v>
      </c>
      <c r="P64" s="23"/>
      <c r="Q64" s="23"/>
      <c r="R64" s="16">
        <f t="shared" si="29"/>
        <v>0</v>
      </c>
      <c r="S64" s="23"/>
      <c r="T64" s="23"/>
      <c r="U64" s="16">
        <f t="shared" si="30"/>
        <v>0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3"/>
      <c r="N65" s="23"/>
      <c r="O65" s="16">
        <f t="shared" si="28"/>
        <v>0</v>
      </c>
      <c r="P65" s="23"/>
      <c r="Q65" s="23"/>
      <c r="R65" s="16">
        <f t="shared" si="29"/>
        <v>0</v>
      </c>
      <c r="S65" s="23"/>
      <c r="T65" s="23"/>
      <c r="U65" s="16">
        <f t="shared" si="30"/>
        <v>0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3"/>
      <c r="N66" s="23"/>
      <c r="O66" s="16">
        <f t="shared" si="28"/>
        <v>0</v>
      </c>
      <c r="P66" s="23"/>
      <c r="Q66" s="23"/>
      <c r="R66" s="16">
        <f t="shared" si="29"/>
        <v>0</v>
      </c>
      <c r="S66" s="23"/>
      <c r="T66" s="23"/>
      <c r="U66" s="16">
        <f t="shared" si="30"/>
        <v>0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3"/>
      <c r="N67" s="23"/>
      <c r="O67" s="16">
        <f t="shared" si="28"/>
        <v>0</v>
      </c>
      <c r="P67" s="23"/>
      <c r="Q67" s="23"/>
      <c r="R67" s="16">
        <f t="shared" si="29"/>
        <v>0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3"/>
      <c r="N68" s="23"/>
      <c r="O68" s="16">
        <f t="shared" si="28"/>
        <v>0</v>
      </c>
      <c r="P68" s="23"/>
      <c r="Q68" s="23"/>
      <c r="R68" s="16">
        <f t="shared" si="29"/>
        <v>0</v>
      </c>
      <c r="S68" s="23"/>
      <c r="T68" s="23"/>
      <c r="U68" s="16">
        <f t="shared" si="30"/>
        <v>0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3"/>
      <c r="N69" s="23"/>
      <c r="O69" s="16">
        <f t="shared" si="28"/>
        <v>0</v>
      </c>
      <c r="P69" s="23"/>
      <c r="Q69" s="23"/>
      <c r="R69" s="16">
        <f t="shared" si="29"/>
        <v>0</v>
      </c>
      <c r="S69" s="23"/>
      <c r="T69" s="23"/>
      <c r="U69" s="16">
        <f t="shared" si="30"/>
        <v>0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3"/>
      <c r="N70" s="23"/>
      <c r="O70" s="16">
        <f t="shared" si="28"/>
        <v>0</v>
      </c>
      <c r="P70" s="23"/>
      <c r="Q70" s="23"/>
      <c r="R70" s="16">
        <f t="shared" si="29"/>
        <v>0</v>
      </c>
      <c r="S70" s="23"/>
      <c r="T70" s="23"/>
      <c r="U70" s="16">
        <f t="shared" si="30"/>
        <v>0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3"/>
      <c r="N71" s="23"/>
      <c r="O71" s="16">
        <f t="shared" si="28"/>
        <v>0</v>
      </c>
      <c r="P71" s="23"/>
      <c r="Q71" s="23"/>
      <c r="R71" s="16">
        <f t="shared" si="29"/>
        <v>0</v>
      </c>
      <c r="S71" s="23"/>
      <c r="T71" s="23"/>
      <c r="U71" s="16">
        <f t="shared" si="30"/>
        <v>0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3"/>
      <c r="N72" s="23"/>
      <c r="O72" s="16">
        <f t="shared" si="28"/>
        <v>0</v>
      </c>
      <c r="P72" s="23"/>
      <c r="Q72" s="23"/>
      <c r="R72" s="16">
        <f t="shared" si="29"/>
        <v>0</v>
      </c>
      <c r="S72" s="23"/>
      <c r="T72" s="23"/>
      <c r="U72" s="16">
        <f t="shared" si="30"/>
        <v>0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3"/>
      <c r="N73" s="23"/>
      <c r="O73" s="16">
        <f t="shared" si="28"/>
        <v>0</v>
      </c>
      <c r="P73" s="23"/>
      <c r="Q73" s="23"/>
      <c r="R73" s="16">
        <f t="shared" si="29"/>
        <v>0</v>
      </c>
      <c r="S73" s="23"/>
      <c r="T73" s="23"/>
      <c r="U73" s="16">
        <f t="shared" si="30"/>
        <v>0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3"/>
      <c r="N74" s="23"/>
      <c r="O74" s="16">
        <f t="shared" si="28"/>
        <v>0</v>
      </c>
      <c r="P74" s="23"/>
      <c r="Q74" s="23"/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3"/>
      <c r="N75" s="23"/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3"/>
      <c r="N76" s="23"/>
      <c r="O76" s="16">
        <f t="shared" si="28"/>
        <v>0</v>
      </c>
      <c r="P76" s="23"/>
      <c r="Q76" s="23"/>
      <c r="R76" s="16">
        <f t="shared" si="29"/>
        <v>0</v>
      </c>
      <c r="S76" s="23"/>
      <c r="T76" s="23"/>
      <c r="U76" s="16">
        <f t="shared" si="30"/>
        <v>0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3"/>
      <c r="N77" s="23"/>
      <c r="O77" s="16">
        <f t="shared" si="28"/>
        <v>0</v>
      </c>
      <c r="P77" s="23"/>
      <c r="Q77" s="23"/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3"/>
      <c r="N78" s="23"/>
      <c r="O78" s="16">
        <f t="shared" si="28"/>
        <v>0</v>
      </c>
      <c r="P78" s="23"/>
      <c r="Q78" s="23"/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3"/>
      <c r="N79" s="23"/>
      <c r="O79" s="16">
        <f t="shared" si="28"/>
        <v>0</v>
      </c>
      <c r="P79" s="23"/>
      <c r="Q79" s="23"/>
      <c r="R79" s="16">
        <f t="shared" si="29"/>
        <v>0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87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0</v>
      </c>
      <c r="E8" s="16">
        <f t="shared" si="1"/>
        <v>0</v>
      </c>
      <c r="F8" s="16">
        <f t="shared" si="1"/>
        <v>0</v>
      </c>
      <c r="G8" s="16">
        <f t="shared" si="1"/>
        <v>0</v>
      </c>
      <c r="H8" s="16">
        <f t="shared" si="1"/>
        <v>0</v>
      </c>
      <c r="I8" s="16">
        <f t="shared" si="1"/>
        <v>0</v>
      </c>
      <c r="J8" s="16">
        <f t="shared" si="1"/>
        <v>0</v>
      </c>
      <c r="K8" s="16">
        <f t="shared" si="1"/>
        <v>0</v>
      </c>
      <c r="L8" s="16">
        <f t="shared" si="1"/>
        <v>0</v>
      </c>
      <c r="M8" s="16">
        <f t="shared" si="1"/>
        <v>0</v>
      </c>
      <c r="N8" s="16">
        <f t="shared" si="1"/>
        <v>0</v>
      </c>
      <c r="O8" s="16">
        <f t="shared" si="1"/>
        <v>0</v>
      </c>
      <c r="P8" s="16">
        <f t="shared" si="1"/>
        <v>0</v>
      </c>
      <c r="Q8" s="16">
        <f t="shared" si="1"/>
        <v>0</v>
      </c>
      <c r="R8" s="16">
        <f t="shared" si="1"/>
        <v>0</v>
      </c>
      <c r="S8" s="16">
        <f t="shared" si="1"/>
        <v>0</v>
      </c>
      <c r="T8" s="16">
        <f t="shared" si="1"/>
        <v>0</v>
      </c>
      <c r="U8" s="16">
        <f t="shared" si="1"/>
        <v>0</v>
      </c>
    </row>
    <row r="9">
      <c r="A9" s="17">
        <v>2.0</v>
      </c>
      <c r="B9" s="18" t="s">
        <v>15</v>
      </c>
      <c r="C9" s="9"/>
      <c r="D9" s="16">
        <f t="shared" ref="D9:U9" si="2">SUM(D10:D17)</f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</row>
    <row r="10">
      <c r="A10" s="19"/>
      <c r="B10" s="20" t="s">
        <v>16</v>
      </c>
      <c r="C10" s="21" t="s">
        <v>17</v>
      </c>
      <c r="D10" s="23"/>
      <c r="E10" s="23"/>
      <c r="F10" s="16">
        <f t="shared" ref="F10:F17" si="3">SUM(D10:E10)</f>
        <v>0</v>
      </c>
      <c r="G10" s="23"/>
      <c r="H10" s="23"/>
      <c r="I10" s="16">
        <f t="shared" ref="I10:I17" si="4">SUM(G10:H10)</f>
        <v>0</v>
      </c>
      <c r="J10" s="23"/>
      <c r="K10" s="23"/>
      <c r="L10" s="16">
        <f t="shared" ref="L10:L17" si="5">SUM(J10:K10)</f>
        <v>0</v>
      </c>
      <c r="M10" s="23"/>
      <c r="N10" s="23"/>
      <c r="O10" s="16">
        <f t="shared" ref="O10:O17" si="6">SUM(M10:N10)</f>
        <v>0</v>
      </c>
      <c r="P10" s="23"/>
      <c r="Q10" s="23"/>
      <c r="R10" s="16">
        <f t="shared" ref="R10:R17" si="7">SUM(P10:Q10)</f>
        <v>0</v>
      </c>
      <c r="S10" s="23"/>
      <c r="T10" s="23"/>
      <c r="U10" s="16">
        <f t="shared" ref="U10:U17" si="8">SUM(S10:T10)</f>
        <v>0</v>
      </c>
    </row>
    <row r="11">
      <c r="A11" s="19"/>
      <c r="B11" s="20" t="s">
        <v>19</v>
      </c>
      <c r="C11" s="21" t="s">
        <v>20</v>
      </c>
      <c r="D11" s="23"/>
      <c r="E11" s="23"/>
      <c r="F11" s="16">
        <f t="shared" si="3"/>
        <v>0</v>
      </c>
      <c r="G11" s="23"/>
      <c r="H11" s="23"/>
      <c r="I11" s="16">
        <f t="shared" si="4"/>
        <v>0</v>
      </c>
      <c r="J11" s="23"/>
      <c r="K11" s="23"/>
      <c r="L11" s="16">
        <f t="shared" si="5"/>
        <v>0</v>
      </c>
      <c r="M11" s="23"/>
      <c r="N11" s="23"/>
      <c r="O11" s="16">
        <f t="shared" si="6"/>
        <v>0</v>
      </c>
      <c r="P11" s="23"/>
      <c r="Q11" s="23"/>
      <c r="R11" s="16">
        <f t="shared" si="7"/>
        <v>0</v>
      </c>
      <c r="S11" s="23"/>
      <c r="T11" s="23"/>
      <c r="U11" s="16">
        <f t="shared" si="8"/>
        <v>0</v>
      </c>
    </row>
    <row r="12">
      <c r="A12" s="19"/>
      <c r="B12" s="20" t="s">
        <v>22</v>
      </c>
      <c r="C12" s="21" t="s">
        <v>23</v>
      </c>
      <c r="D12" s="23"/>
      <c r="E12" s="23"/>
      <c r="F12" s="16">
        <f t="shared" si="3"/>
        <v>0</v>
      </c>
      <c r="G12" s="23"/>
      <c r="H12" s="23"/>
      <c r="I12" s="16">
        <f t="shared" si="4"/>
        <v>0</v>
      </c>
      <c r="J12" s="23"/>
      <c r="K12" s="23"/>
      <c r="L12" s="16">
        <f t="shared" si="5"/>
        <v>0</v>
      </c>
      <c r="M12" s="23"/>
      <c r="N12" s="23"/>
      <c r="O12" s="16">
        <f t="shared" si="6"/>
        <v>0</v>
      </c>
      <c r="P12" s="23"/>
      <c r="Q12" s="23"/>
      <c r="R12" s="16">
        <f t="shared" si="7"/>
        <v>0</v>
      </c>
      <c r="S12" s="23"/>
      <c r="T12" s="23"/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3"/>
      <c r="E13" s="23"/>
      <c r="F13" s="16">
        <f t="shared" si="3"/>
        <v>0</v>
      </c>
      <c r="G13" s="23"/>
      <c r="H13" s="23"/>
      <c r="I13" s="16">
        <f t="shared" si="4"/>
        <v>0</v>
      </c>
      <c r="J13" s="23"/>
      <c r="K13" s="23"/>
      <c r="L13" s="16">
        <f t="shared" si="5"/>
        <v>0</v>
      </c>
      <c r="M13" s="23"/>
      <c r="N13" s="23"/>
      <c r="O13" s="16">
        <f t="shared" si="6"/>
        <v>0</v>
      </c>
      <c r="P13" s="23"/>
      <c r="Q13" s="23"/>
      <c r="R13" s="16">
        <f t="shared" si="7"/>
        <v>0</v>
      </c>
      <c r="S13" s="23"/>
      <c r="T13" s="23"/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3"/>
      <c r="E14" s="23"/>
      <c r="F14" s="16">
        <f t="shared" si="3"/>
        <v>0</v>
      </c>
      <c r="G14" s="23"/>
      <c r="H14" s="23"/>
      <c r="I14" s="16">
        <f t="shared" si="4"/>
        <v>0</v>
      </c>
      <c r="J14" s="23"/>
      <c r="K14" s="23"/>
      <c r="L14" s="16">
        <f t="shared" si="5"/>
        <v>0</v>
      </c>
      <c r="M14" s="23"/>
      <c r="N14" s="23"/>
      <c r="O14" s="16">
        <f t="shared" si="6"/>
        <v>0</v>
      </c>
      <c r="P14" s="23"/>
      <c r="Q14" s="23"/>
      <c r="R14" s="16">
        <f t="shared" si="7"/>
        <v>0</v>
      </c>
      <c r="S14" s="23"/>
      <c r="T14" s="23"/>
      <c r="U14" s="16">
        <f t="shared" si="8"/>
        <v>0</v>
      </c>
    </row>
    <row r="15">
      <c r="A15" s="19"/>
      <c r="B15" s="20" t="s">
        <v>29</v>
      </c>
      <c r="C15" s="21" t="s">
        <v>30</v>
      </c>
      <c r="D15" s="23"/>
      <c r="E15" s="23"/>
      <c r="F15" s="16">
        <f t="shared" si="3"/>
        <v>0</v>
      </c>
      <c r="G15" s="23"/>
      <c r="H15" s="23"/>
      <c r="I15" s="16">
        <f t="shared" si="4"/>
        <v>0</v>
      </c>
      <c r="J15" s="23"/>
      <c r="K15" s="23"/>
      <c r="L15" s="16">
        <f t="shared" si="5"/>
        <v>0</v>
      </c>
      <c r="M15" s="23"/>
      <c r="N15" s="23"/>
      <c r="O15" s="16">
        <f t="shared" si="6"/>
        <v>0</v>
      </c>
      <c r="P15" s="23"/>
      <c r="Q15" s="23"/>
      <c r="R15" s="16">
        <f t="shared" si="7"/>
        <v>0</v>
      </c>
      <c r="S15" s="23"/>
      <c r="T15" s="23"/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3"/>
      <c r="E16" s="23"/>
      <c r="F16" s="16">
        <f t="shared" si="3"/>
        <v>0</v>
      </c>
      <c r="G16" s="23"/>
      <c r="H16" s="23"/>
      <c r="I16" s="16">
        <f t="shared" si="4"/>
        <v>0</v>
      </c>
      <c r="J16" s="23"/>
      <c r="K16" s="23"/>
      <c r="L16" s="16">
        <f t="shared" si="5"/>
        <v>0</v>
      </c>
      <c r="M16" s="23"/>
      <c r="N16" s="23"/>
      <c r="O16" s="16">
        <f t="shared" si="6"/>
        <v>0</v>
      </c>
      <c r="P16" s="23"/>
      <c r="Q16" s="23"/>
      <c r="R16" s="16">
        <f t="shared" si="7"/>
        <v>0</v>
      </c>
      <c r="S16" s="23"/>
      <c r="T16" s="23"/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3"/>
      <c r="E17" s="23"/>
      <c r="F17" s="16">
        <f t="shared" si="3"/>
        <v>0</v>
      </c>
      <c r="G17" s="23"/>
      <c r="H17" s="23"/>
      <c r="I17" s="16">
        <f t="shared" si="4"/>
        <v>0</v>
      </c>
      <c r="J17" s="23"/>
      <c r="K17" s="23"/>
      <c r="L17" s="16">
        <f t="shared" si="5"/>
        <v>0</v>
      </c>
      <c r="M17" s="23"/>
      <c r="N17" s="23"/>
      <c r="O17" s="16">
        <f t="shared" si="6"/>
        <v>0</v>
      </c>
      <c r="P17" s="23"/>
      <c r="Q17" s="23"/>
      <c r="R17" s="16">
        <f t="shared" si="7"/>
        <v>0</v>
      </c>
      <c r="S17" s="23"/>
      <c r="T17" s="23"/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0</v>
      </c>
      <c r="E18" s="16">
        <f t="shared" si="9"/>
        <v>0</v>
      </c>
      <c r="F18" s="16">
        <f t="shared" si="9"/>
        <v>0</v>
      </c>
      <c r="G18" s="16">
        <f t="shared" si="9"/>
        <v>0</v>
      </c>
      <c r="H18" s="16">
        <f t="shared" si="9"/>
        <v>0</v>
      </c>
      <c r="I18" s="16">
        <f t="shared" si="9"/>
        <v>0</v>
      </c>
      <c r="J18" s="16">
        <f t="shared" si="9"/>
        <v>0</v>
      </c>
      <c r="K18" s="16">
        <f t="shared" si="9"/>
        <v>0</v>
      </c>
      <c r="L18" s="16">
        <f t="shared" si="9"/>
        <v>0</v>
      </c>
      <c r="M18" s="16">
        <f t="shared" si="9"/>
        <v>0</v>
      </c>
      <c r="N18" s="16">
        <f t="shared" si="9"/>
        <v>0</v>
      </c>
      <c r="O18" s="16">
        <f t="shared" si="9"/>
        <v>0</v>
      </c>
      <c r="P18" s="16">
        <f t="shared" si="9"/>
        <v>0</v>
      </c>
      <c r="Q18" s="16">
        <f t="shared" si="9"/>
        <v>0</v>
      </c>
      <c r="R18" s="16">
        <f t="shared" si="9"/>
        <v>0</v>
      </c>
      <c r="S18" s="16">
        <f t="shared" si="9"/>
        <v>0</v>
      </c>
      <c r="T18" s="16">
        <f t="shared" si="9"/>
        <v>0</v>
      </c>
      <c r="U18" s="16">
        <f t="shared" si="9"/>
        <v>0</v>
      </c>
    </row>
    <row r="19">
      <c r="A19" s="19"/>
      <c r="B19" s="20" t="s">
        <v>16</v>
      </c>
      <c r="C19" s="21" t="s">
        <v>36</v>
      </c>
      <c r="D19" s="23"/>
      <c r="E19" s="23"/>
      <c r="F19" s="16">
        <f t="shared" ref="F19:F41" si="10">SUM(D19:E19)</f>
        <v>0</v>
      </c>
      <c r="G19" s="23"/>
      <c r="H19" s="23"/>
      <c r="I19" s="16">
        <f t="shared" ref="I19:I41" si="11">SUM(G19:H19)</f>
        <v>0</v>
      </c>
      <c r="J19" s="23"/>
      <c r="K19" s="23"/>
      <c r="L19" s="16">
        <f t="shared" ref="L19:L41" si="12">SUM(J19:K19)</f>
        <v>0</v>
      </c>
      <c r="M19" s="23"/>
      <c r="N19" s="23"/>
      <c r="O19" s="16">
        <f t="shared" ref="O19:O41" si="13">SUM(M19:N19)</f>
        <v>0</v>
      </c>
      <c r="P19" s="23"/>
      <c r="Q19" s="23"/>
      <c r="R19" s="16">
        <f t="shared" ref="R19:R41" si="14">SUM(P19:Q19)</f>
        <v>0</v>
      </c>
      <c r="S19" s="23"/>
      <c r="T19" s="23"/>
      <c r="U19" s="16">
        <f t="shared" ref="U19:U41" si="15">SUM(S19:T19)</f>
        <v>0</v>
      </c>
    </row>
    <row r="20">
      <c r="A20" s="19"/>
      <c r="B20" s="20" t="s">
        <v>19</v>
      </c>
      <c r="C20" s="21" t="s">
        <v>37</v>
      </c>
      <c r="D20" s="23"/>
      <c r="E20" s="23"/>
      <c r="F20" s="16">
        <f t="shared" si="10"/>
        <v>0</v>
      </c>
      <c r="G20" s="23"/>
      <c r="H20" s="23"/>
      <c r="I20" s="16">
        <f t="shared" si="11"/>
        <v>0</v>
      </c>
      <c r="J20" s="23"/>
      <c r="K20" s="23"/>
      <c r="L20" s="16">
        <f t="shared" si="12"/>
        <v>0</v>
      </c>
      <c r="M20" s="23"/>
      <c r="N20" s="23"/>
      <c r="O20" s="16">
        <f t="shared" si="13"/>
        <v>0</v>
      </c>
      <c r="P20" s="23"/>
      <c r="Q20" s="23"/>
      <c r="R20" s="16">
        <f t="shared" si="14"/>
        <v>0</v>
      </c>
      <c r="S20" s="23"/>
      <c r="T20" s="23"/>
      <c r="U20" s="16">
        <f t="shared" si="15"/>
        <v>0</v>
      </c>
    </row>
    <row r="21">
      <c r="A21" s="19"/>
      <c r="B21" s="20" t="s">
        <v>22</v>
      </c>
      <c r="C21" s="21" t="s">
        <v>38</v>
      </c>
      <c r="D21" s="23"/>
      <c r="E21" s="23"/>
      <c r="F21" s="16">
        <f t="shared" si="10"/>
        <v>0</v>
      </c>
      <c r="G21" s="23"/>
      <c r="H21" s="23"/>
      <c r="I21" s="16">
        <f t="shared" si="11"/>
        <v>0</v>
      </c>
      <c r="J21" s="23"/>
      <c r="K21" s="23"/>
      <c r="L21" s="16">
        <f t="shared" si="12"/>
        <v>0</v>
      </c>
      <c r="M21" s="23"/>
      <c r="N21" s="23"/>
      <c r="O21" s="16">
        <f t="shared" si="13"/>
        <v>0</v>
      </c>
      <c r="P21" s="23"/>
      <c r="Q21" s="23"/>
      <c r="R21" s="16">
        <f t="shared" si="14"/>
        <v>0</v>
      </c>
      <c r="S21" s="23"/>
      <c r="T21" s="23"/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3"/>
      <c r="E22" s="23"/>
      <c r="F22" s="16">
        <f t="shared" si="10"/>
        <v>0</v>
      </c>
      <c r="G22" s="23"/>
      <c r="H22" s="23"/>
      <c r="I22" s="16">
        <f t="shared" si="11"/>
        <v>0</v>
      </c>
      <c r="J22" s="23"/>
      <c r="K22" s="23"/>
      <c r="L22" s="16">
        <f t="shared" si="12"/>
        <v>0</v>
      </c>
      <c r="M22" s="23"/>
      <c r="N22" s="23"/>
      <c r="O22" s="16">
        <f t="shared" si="13"/>
        <v>0</v>
      </c>
      <c r="P22" s="23"/>
      <c r="Q22" s="23"/>
      <c r="R22" s="16">
        <f t="shared" si="14"/>
        <v>0</v>
      </c>
      <c r="S22" s="23"/>
      <c r="T22" s="23"/>
      <c r="U22" s="16">
        <f t="shared" si="15"/>
        <v>0</v>
      </c>
    </row>
    <row r="23">
      <c r="A23" s="19"/>
      <c r="B23" s="20" t="s">
        <v>27</v>
      </c>
      <c r="C23" s="21" t="s">
        <v>80</v>
      </c>
      <c r="D23" s="23"/>
      <c r="E23" s="23"/>
      <c r="F23" s="16">
        <f t="shared" si="10"/>
        <v>0</v>
      </c>
      <c r="G23" s="23"/>
      <c r="H23" s="23"/>
      <c r="I23" s="16">
        <f t="shared" si="11"/>
        <v>0</v>
      </c>
      <c r="J23" s="23"/>
      <c r="K23" s="23"/>
      <c r="L23" s="16">
        <f t="shared" si="12"/>
        <v>0</v>
      </c>
      <c r="M23" s="23"/>
      <c r="N23" s="23"/>
      <c r="O23" s="16">
        <f t="shared" si="13"/>
        <v>0</v>
      </c>
      <c r="P23" s="23"/>
      <c r="Q23" s="23"/>
      <c r="R23" s="16">
        <f t="shared" si="14"/>
        <v>0</v>
      </c>
      <c r="S23" s="23"/>
      <c r="T23" s="23"/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3"/>
      <c r="H24" s="23"/>
      <c r="I24" s="16">
        <f t="shared" si="11"/>
        <v>0</v>
      </c>
      <c r="J24" s="23"/>
      <c r="K24" s="23"/>
      <c r="L24" s="16">
        <f t="shared" si="12"/>
        <v>0</v>
      </c>
      <c r="M24" s="23"/>
      <c r="N24" s="23"/>
      <c r="O24" s="16">
        <f t="shared" si="13"/>
        <v>0</v>
      </c>
      <c r="P24" s="23"/>
      <c r="Q24" s="23"/>
      <c r="R24" s="16">
        <f t="shared" si="14"/>
        <v>0</v>
      </c>
      <c r="S24" s="23"/>
      <c r="T24" s="23"/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3"/>
      <c r="E25" s="23"/>
      <c r="F25" s="16">
        <f t="shared" si="10"/>
        <v>0</v>
      </c>
      <c r="G25" s="23"/>
      <c r="H25" s="23"/>
      <c r="I25" s="16">
        <f t="shared" si="11"/>
        <v>0</v>
      </c>
      <c r="J25" s="23"/>
      <c r="K25" s="23"/>
      <c r="L25" s="16">
        <f t="shared" si="12"/>
        <v>0</v>
      </c>
      <c r="M25" s="23"/>
      <c r="N25" s="23"/>
      <c r="O25" s="16">
        <f t="shared" si="13"/>
        <v>0</v>
      </c>
      <c r="P25" s="23"/>
      <c r="Q25" s="23"/>
      <c r="R25" s="16">
        <f t="shared" si="14"/>
        <v>0</v>
      </c>
      <c r="S25" s="23"/>
      <c r="T25" s="23"/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3"/>
      <c r="E26" s="23"/>
      <c r="F26" s="16">
        <f t="shared" si="10"/>
        <v>0</v>
      </c>
      <c r="G26" s="23"/>
      <c r="H26" s="23"/>
      <c r="I26" s="16">
        <f t="shared" si="11"/>
        <v>0</v>
      </c>
      <c r="J26" s="23"/>
      <c r="K26" s="23"/>
      <c r="L26" s="16">
        <f t="shared" si="12"/>
        <v>0</v>
      </c>
      <c r="M26" s="23"/>
      <c r="N26" s="23"/>
      <c r="O26" s="16">
        <f t="shared" si="13"/>
        <v>0</v>
      </c>
      <c r="P26" s="23"/>
      <c r="Q26" s="23"/>
      <c r="R26" s="16">
        <f t="shared" si="14"/>
        <v>0</v>
      </c>
      <c r="S26" s="23"/>
      <c r="T26" s="23"/>
      <c r="U26" s="16">
        <f t="shared" si="15"/>
        <v>0</v>
      </c>
    </row>
    <row r="27">
      <c r="A27" s="19"/>
      <c r="B27" s="20" t="s">
        <v>44</v>
      </c>
      <c r="C27" s="21" t="s">
        <v>45</v>
      </c>
      <c r="D27" s="23"/>
      <c r="E27" s="23"/>
      <c r="F27" s="16">
        <f t="shared" si="10"/>
        <v>0</v>
      </c>
      <c r="G27" s="23"/>
      <c r="H27" s="23"/>
      <c r="I27" s="16">
        <f t="shared" si="11"/>
        <v>0</v>
      </c>
      <c r="J27" s="23"/>
      <c r="K27" s="23"/>
      <c r="L27" s="16">
        <f t="shared" si="12"/>
        <v>0</v>
      </c>
      <c r="M27" s="23"/>
      <c r="N27" s="23"/>
      <c r="O27" s="16">
        <f t="shared" si="13"/>
        <v>0</v>
      </c>
      <c r="P27" s="23"/>
      <c r="Q27" s="23"/>
      <c r="R27" s="16">
        <f t="shared" si="14"/>
        <v>0</v>
      </c>
      <c r="S27" s="23"/>
      <c r="T27" s="23"/>
      <c r="U27" s="16">
        <f t="shared" si="15"/>
        <v>0</v>
      </c>
    </row>
    <row r="28">
      <c r="A28" s="19"/>
      <c r="B28" s="20" t="s">
        <v>46</v>
      </c>
      <c r="C28" s="21" t="s">
        <v>47</v>
      </c>
      <c r="D28" s="23"/>
      <c r="E28" s="23"/>
      <c r="F28" s="16">
        <f t="shared" si="10"/>
        <v>0</v>
      </c>
      <c r="G28" s="23"/>
      <c r="H28" s="23"/>
      <c r="I28" s="16">
        <f t="shared" si="11"/>
        <v>0</v>
      </c>
      <c r="J28" s="23"/>
      <c r="K28" s="23"/>
      <c r="L28" s="16">
        <f t="shared" si="12"/>
        <v>0</v>
      </c>
      <c r="M28" s="23"/>
      <c r="N28" s="23"/>
      <c r="O28" s="16">
        <f t="shared" si="13"/>
        <v>0</v>
      </c>
      <c r="P28" s="23"/>
      <c r="Q28" s="23"/>
      <c r="R28" s="16">
        <f t="shared" si="14"/>
        <v>0</v>
      </c>
      <c r="S28" s="23"/>
      <c r="T28" s="23"/>
      <c r="U28" s="16">
        <f t="shared" si="15"/>
        <v>0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3"/>
      <c r="H29" s="23"/>
      <c r="I29" s="16">
        <f t="shared" si="11"/>
        <v>0</v>
      </c>
      <c r="J29" s="23"/>
      <c r="K29" s="23"/>
      <c r="L29" s="16">
        <f t="shared" si="12"/>
        <v>0</v>
      </c>
      <c r="M29" s="23"/>
      <c r="N29" s="23"/>
      <c r="O29" s="16">
        <f t="shared" si="13"/>
        <v>0</v>
      </c>
      <c r="P29" s="23"/>
      <c r="Q29" s="23"/>
      <c r="R29" s="16">
        <f t="shared" si="14"/>
        <v>0</v>
      </c>
      <c r="S29" s="23"/>
      <c r="T29" s="23"/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3"/>
      <c r="E30" s="23"/>
      <c r="F30" s="16">
        <f t="shared" si="10"/>
        <v>0</v>
      </c>
      <c r="G30" s="23"/>
      <c r="H30" s="23"/>
      <c r="I30" s="16">
        <f t="shared" si="11"/>
        <v>0</v>
      </c>
      <c r="J30" s="23"/>
      <c r="K30" s="23"/>
      <c r="L30" s="16">
        <f t="shared" si="12"/>
        <v>0</v>
      </c>
      <c r="M30" s="23"/>
      <c r="N30" s="23"/>
      <c r="O30" s="16">
        <f t="shared" si="13"/>
        <v>0</v>
      </c>
      <c r="P30" s="23"/>
      <c r="Q30" s="23"/>
      <c r="R30" s="16">
        <f t="shared" si="14"/>
        <v>0</v>
      </c>
      <c r="S30" s="23"/>
      <c r="T30" s="23"/>
      <c r="U30" s="16">
        <f t="shared" si="15"/>
        <v>0</v>
      </c>
    </row>
    <row r="31">
      <c r="A31" s="19"/>
      <c r="B31" s="20" t="s">
        <v>52</v>
      </c>
      <c r="C31" s="21" t="s">
        <v>53</v>
      </c>
      <c r="D31" s="23"/>
      <c r="E31" s="23"/>
      <c r="F31" s="16">
        <f t="shared" si="10"/>
        <v>0</v>
      </c>
      <c r="G31" s="23"/>
      <c r="H31" s="23"/>
      <c r="I31" s="16">
        <f t="shared" si="11"/>
        <v>0</v>
      </c>
      <c r="J31" s="23"/>
      <c r="K31" s="23"/>
      <c r="L31" s="16">
        <f t="shared" si="12"/>
        <v>0</v>
      </c>
      <c r="M31" s="23"/>
      <c r="N31" s="23"/>
      <c r="O31" s="16">
        <f t="shared" si="13"/>
        <v>0</v>
      </c>
      <c r="P31" s="23"/>
      <c r="Q31" s="23"/>
      <c r="R31" s="16">
        <f t="shared" si="14"/>
        <v>0</v>
      </c>
      <c r="S31" s="23"/>
      <c r="T31" s="23"/>
      <c r="U31" s="16">
        <f t="shared" si="15"/>
        <v>0</v>
      </c>
    </row>
    <row r="32">
      <c r="A32" s="19"/>
      <c r="B32" s="20" t="s">
        <v>54</v>
      </c>
      <c r="C32" s="21" t="s">
        <v>55</v>
      </c>
      <c r="D32" s="23"/>
      <c r="E32" s="23"/>
      <c r="F32" s="16">
        <f t="shared" si="10"/>
        <v>0</v>
      </c>
      <c r="G32" s="23"/>
      <c r="H32" s="23"/>
      <c r="I32" s="16">
        <f t="shared" si="11"/>
        <v>0</v>
      </c>
      <c r="J32" s="23"/>
      <c r="K32" s="23"/>
      <c r="L32" s="16">
        <f t="shared" si="12"/>
        <v>0</v>
      </c>
      <c r="M32" s="23"/>
      <c r="N32" s="23"/>
      <c r="O32" s="16">
        <f t="shared" si="13"/>
        <v>0</v>
      </c>
      <c r="P32" s="23"/>
      <c r="Q32" s="23"/>
      <c r="R32" s="16">
        <f t="shared" si="14"/>
        <v>0</v>
      </c>
      <c r="S32" s="23"/>
      <c r="T32" s="23"/>
      <c r="U32" s="16">
        <f t="shared" si="15"/>
        <v>0</v>
      </c>
    </row>
    <row r="33">
      <c r="A33" s="19"/>
      <c r="B33" s="20" t="s">
        <v>56</v>
      </c>
      <c r="C33" s="21" t="s">
        <v>57</v>
      </c>
      <c r="D33" s="23"/>
      <c r="E33" s="23"/>
      <c r="F33" s="16">
        <f t="shared" si="10"/>
        <v>0</v>
      </c>
      <c r="G33" s="23"/>
      <c r="H33" s="23"/>
      <c r="I33" s="16">
        <f t="shared" si="11"/>
        <v>0</v>
      </c>
      <c r="J33" s="23"/>
      <c r="K33" s="23"/>
      <c r="L33" s="16">
        <f t="shared" si="12"/>
        <v>0</v>
      </c>
      <c r="M33" s="23"/>
      <c r="N33" s="23"/>
      <c r="O33" s="16">
        <f t="shared" si="13"/>
        <v>0</v>
      </c>
      <c r="P33" s="23"/>
      <c r="Q33" s="23"/>
      <c r="R33" s="16">
        <f t="shared" si="14"/>
        <v>0</v>
      </c>
      <c r="S33" s="23"/>
      <c r="T33" s="23"/>
      <c r="U33" s="16">
        <f t="shared" si="15"/>
        <v>0</v>
      </c>
    </row>
    <row r="34">
      <c r="A34" s="19"/>
      <c r="B34" s="20" t="s">
        <v>58</v>
      </c>
      <c r="C34" s="21" t="s">
        <v>59</v>
      </c>
      <c r="D34" s="23"/>
      <c r="E34" s="23"/>
      <c r="F34" s="16">
        <f t="shared" si="10"/>
        <v>0</v>
      </c>
      <c r="G34" s="23"/>
      <c r="H34" s="23"/>
      <c r="I34" s="16">
        <f t="shared" si="11"/>
        <v>0</v>
      </c>
      <c r="J34" s="23"/>
      <c r="K34" s="23"/>
      <c r="L34" s="16">
        <f t="shared" si="12"/>
        <v>0</v>
      </c>
      <c r="M34" s="23"/>
      <c r="N34" s="23"/>
      <c r="O34" s="16">
        <f t="shared" si="13"/>
        <v>0</v>
      </c>
      <c r="P34" s="23"/>
      <c r="Q34" s="23"/>
      <c r="R34" s="16">
        <f t="shared" si="14"/>
        <v>0</v>
      </c>
      <c r="S34" s="23"/>
      <c r="T34" s="23"/>
      <c r="U34" s="16">
        <f t="shared" si="15"/>
        <v>0</v>
      </c>
    </row>
    <row r="35">
      <c r="A35" s="19"/>
      <c r="B35" s="20" t="s">
        <v>60</v>
      </c>
      <c r="C35" s="21" t="s">
        <v>61</v>
      </c>
      <c r="D35" s="23"/>
      <c r="E35" s="23"/>
      <c r="F35" s="16">
        <f t="shared" si="10"/>
        <v>0</v>
      </c>
      <c r="G35" s="23"/>
      <c r="H35" s="23"/>
      <c r="I35" s="16">
        <f t="shared" si="11"/>
        <v>0</v>
      </c>
      <c r="J35" s="23"/>
      <c r="K35" s="23"/>
      <c r="L35" s="16">
        <f t="shared" si="12"/>
        <v>0</v>
      </c>
      <c r="M35" s="23"/>
      <c r="N35" s="23"/>
      <c r="O35" s="16">
        <f t="shared" si="13"/>
        <v>0</v>
      </c>
      <c r="P35" s="23"/>
      <c r="Q35" s="23"/>
      <c r="R35" s="16">
        <f t="shared" si="14"/>
        <v>0</v>
      </c>
      <c r="S35" s="23"/>
      <c r="T35" s="23"/>
      <c r="U35" s="16">
        <f t="shared" si="15"/>
        <v>0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3"/>
      <c r="H36" s="23"/>
      <c r="I36" s="16">
        <f t="shared" si="11"/>
        <v>0</v>
      </c>
      <c r="J36" s="23"/>
      <c r="K36" s="23"/>
      <c r="L36" s="16">
        <f t="shared" si="12"/>
        <v>0</v>
      </c>
      <c r="M36" s="23"/>
      <c r="N36" s="23"/>
      <c r="O36" s="16">
        <f t="shared" si="13"/>
        <v>0</v>
      </c>
      <c r="P36" s="23"/>
      <c r="Q36" s="23"/>
      <c r="R36" s="16">
        <f t="shared" si="14"/>
        <v>0</v>
      </c>
      <c r="S36" s="23"/>
      <c r="T36" s="23"/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3"/>
      <c r="H37" s="23"/>
      <c r="I37" s="16">
        <f t="shared" si="11"/>
        <v>0</v>
      </c>
      <c r="J37" s="23"/>
      <c r="K37" s="23"/>
      <c r="L37" s="16">
        <f t="shared" si="12"/>
        <v>0</v>
      </c>
      <c r="M37" s="23"/>
      <c r="N37" s="23"/>
      <c r="O37" s="16">
        <f t="shared" si="13"/>
        <v>0</v>
      </c>
      <c r="P37" s="23"/>
      <c r="Q37" s="23"/>
      <c r="R37" s="16">
        <f t="shared" si="14"/>
        <v>0</v>
      </c>
      <c r="S37" s="23"/>
      <c r="T37" s="23"/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3"/>
      <c r="F38" s="16">
        <f t="shared" si="10"/>
        <v>0</v>
      </c>
      <c r="G38" s="23"/>
      <c r="H38" s="23"/>
      <c r="I38" s="16">
        <f t="shared" si="11"/>
        <v>0</v>
      </c>
      <c r="J38" s="23"/>
      <c r="K38" s="23"/>
      <c r="L38" s="16">
        <f t="shared" si="12"/>
        <v>0</v>
      </c>
      <c r="M38" s="23"/>
      <c r="N38" s="23"/>
      <c r="O38" s="16">
        <f t="shared" si="13"/>
        <v>0</v>
      </c>
      <c r="P38" s="23"/>
      <c r="Q38" s="23"/>
      <c r="R38" s="16">
        <f t="shared" si="14"/>
        <v>0</v>
      </c>
      <c r="S38" s="23"/>
      <c r="T38" s="23"/>
      <c r="U38" s="16">
        <f t="shared" si="15"/>
        <v>0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3"/>
      <c r="H39" s="23"/>
      <c r="I39" s="16">
        <f t="shared" si="11"/>
        <v>0</v>
      </c>
      <c r="J39" s="23"/>
      <c r="K39" s="23"/>
      <c r="L39" s="16">
        <f t="shared" si="12"/>
        <v>0</v>
      </c>
      <c r="M39" s="23"/>
      <c r="N39" s="23"/>
      <c r="O39" s="16">
        <f t="shared" si="13"/>
        <v>0</v>
      </c>
      <c r="P39" s="23"/>
      <c r="Q39" s="23"/>
      <c r="R39" s="16">
        <f t="shared" si="14"/>
        <v>0</v>
      </c>
      <c r="S39" s="23"/>
      <c r="T39" s="23"/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3"/>
      <c r="H40" s="23"/>
      <c r="I40" s="16">
        <f t="shared" si="11"/>
        <v>0</v>
      </c>
      <c r="J40" s="23"/>
      <c r="K40" s="23"/>
      <c r="L40" s="16">
        <f t="shared" si="12"/>
        <v>0</v>
      </c>
      <c r="M40" s="23"/>
      <c r="N40" s="23"/>
      <c r="O40" s="16">
        <f t="shared" si="13"/>
        <v>0</v>
      </c>
      <c r="P40" s="23"/>
      <c r="Q40" s="23"/>
      <c r="R40" s="16">
        <f t="shared" si="14"/>
        <v>0</v>
      </c>
      <c r="S40" s="23"/>
      <c r="T40" s="23"/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3"/>
      <c r="H41" s="23"/>
      <c r="I41" s="16">
        <f t="shared" si="11"/>
        <v>0</v>
      </c>
      <c r="J41" s="23"/>
      <c r="K41" s="23"/>
      <c r="L41" s="16">
        <f t="shared" si="12"/>
        <v>0</v>
      </c>
      <c r="M41" s="23"/>
      <c r="N41" s="23"/>
      <c r="O41" s="16">
        <f t="shared" si="13"/>
        <v>0</v>
      </c>
      <c r="P41" s="23"/>
      <c r="Q41" s="23"/>
      <c r="R41" s="16">
        <f t="shared" si="14"/>
        <v>0</v>
      </c>
      <c r="S41" s="23"/>
      <c r="T41" s="23"/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0</v>
      </c>
      <c r="N46" s="16">
        <f t="shared" si="16"/>
        <v>0</v>
      </c>
      <c r="O46" s="16">
        <f t="shared" si="16"/>
        <v>0</v>
      </c>
      <c r="P46" s="16">
        <f t="shared" si="16"/>
        <v>0</v>
      </c>
      <c r="Q46" s="16">
        <f t="shared" si="16"/>
        <v>0</v>
      </c>
      <c r="R46" s="16">
        <f t="shared" si="16"/>
        <v>0</v>
      </c>
      <c r="S46" s="16">
        <f t="shared" si="16"/>
        <v>0</v>
      </c>
      <c r="T46" s="16">
        <f t="shared" si="16"/>
        <v>0</v>
      </c>
      <c r="U46" s="16">
        <f t="shared" si="16"/>
        <v>0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0</v>
      </c>
      <c r="N47" s="16">
        <f t="shared" si="17"/>
        <v>0</v>
      </c>
      <c r="O47" s="16">
        <f t="shared" si="17"/>
        <v>0</v>
      </c>
      <c r="P47" s="16">
        <f t="shared" si="17"/>
        <v>0</v>
      </c>
      <c r="Q47" s="16">
        <f t="shared" si="17"/>
        <v>0</v>
      </c>
      <c r="R47" s="16">
        <f t="shared" si="17"/>
        <v>0</v>
      </c>
      <c r="S47" s="16">
        <f t="shared" si="17"/>
        <v>0</v>
      </c>
      <c r="T47" s="16">
        <f t="shared" si="17"/>
        <v>0</v>
      </c>
      <c r="U47" s="16">
        <f t="shared" si="17"/>
        <v>0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3"/>
      <c r="N48" s="23"/>
      <c r="O48" s="16">
        <f t="shared" ref="O48:O55" si="21">SUM(M48:N48)</f>
        <v>0</v>
      </c>
      <c r="P48" s="23"/>
      <c r="Q48" s="23"/>
      <c r="R48" s="16">
        <f t="shared" ref="R48:R55" si="22">SUM(P48:Q48)</f>
        <v>0</v>
      </c>
      <c r="S48" s="23"/>
      <c r="T48" s="23"/>
      <c r="U48" s="16">
        <f t="shared" ref="U48:U55" si="23">SUM(S48:T48)</f>
        <v>0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3"/>
      <c r="N49" s="23"/>
      <c r="O49" s="16">
        <f t="shared" si="21"/>
        <v>0</v>
      </c>
      <c r="P49" s="23"/>
      <c r="Q49" s="23"/>
      <c r="R49" s="16">
        <f t="shared" si="22"/>
        <v>0</v>
      </c>
      <c r="S49" s="23"/>
      <c r="T49" s="23"/>
      <c r="U49" s="16">
        <f t="shared" si="23"/>
        <v>0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3"/>
      <c r="N50" s="23"/>
      <c r="O50" s="16">
        <f t="shared" si="21"/>
        <v>0</v>
      </c>
      <c r="P50" s="23"/>
      <c r="Q50" s="23"/>
      <c r="R50" s="16">
        <f t="shared" si="22"/>
        <v>0</v>
      </c>
      <c r="S50" s="23"/>
      <c r="T50" s="23"/>
      <c r="U50" s="16">
        <f t="shared" si="23"/>
        <v>0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3"/>
      <c r="N51" s="23"/>
      <c r="O51" s="16">
        <f t="shared" si="21"/>
        <v>0</v>
      </c>
      <c r="P51" s="23"/>
      <c r="Q51" s="23"/>
      <c r="R51" s="16">
        <f t="shared" si="22"/>
        <v>0</v>
      </c>
      <c r="S51" s="23"/>
      <c r="T51" s="23"/>
      <c r="U51" s="16">
        <f t="shared" si="23"/>
        <v>0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3"/>
      <c r="N52" s="23"/>
      <c r="O52" s="16">
        <f t="shared" si="21"/>
        <v>0</v>
      </c>
      <c r="P52" s="23"/>
      <c r="Q52" s="23"/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3"/>
      <c r="N53" s="23"/>
      <c r="O53" s="16">
        <f t="shared" si="21"/>
        <v>0</v>
      </c>
      <c r="P53" s="23"/>
      <c r="Q53" s="23"/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3"/>
      <c r="N54" s="23"/>
      <c r="O54" s="16">
        <f t="shared" si="21"/>
        <v>0</v>
      </c>
      <c r="P54" s="23"/>
      <c r="Q54" s="23"/>
      <c r="R54" s="16">
        <f t="shared" si="22"/>
        <v>0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3"/>
      <c r="N55" s="23"/>
      <c r="O55" s="16">
        <f t="shared" si="21"/>
        <v>0</v>
      </c>
      <c r="P55" s="23"/>
      <c r="Q55" s="23"/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0</v>
      </c>
      <c r="N56" s="16">
        <f t="shared" si="24"/>
        <v>0</v>
      </c>
      <c r="O56" s="16">
        <f t="shared" si="24"/>
        <v>0</v>
      </c>
      <c r="P56" s="16">
        <f t="shared" si="24"/>
        <v>0</v>
      </c>
      <c r="Q56" s="16">
        <f t="shared" si="24"/>
        <v>0</v>
      </c>
      <c r="R56" s="16">
        <f t="shared" si="24"/>
        <v>0</v>
      </c>
      <c r="S56" s="16">
        <f t="shared" si="24"/>
        <v>0</v>
      </c>
      <c r="T56" s="16">
        <f t="shared" si="24"/>
        <v>0</v>
      </c>
      <c r="U56" s="16">
        <f t="shared" si="24"/>
        <v>0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3"/>
      <c r="N57" s="23"/>
      <c r="O57" s="16">
        <f t="shared" ref="O57:O79" si="28">SUM(M57:N57)</f>
        <v>0</v>
      </c>
      <c r="P57" s="23"/>
      <c r="Q57" s="23"/>
      <c r="R57" s="16">
        <f t="shared" ref="R57:R79" si="29">SUM(P57:Q57)</f>
        <v>0</v>
      </c>
      <c r="S57" s="23"/>
      <c r="T57" s="23"/>
      <c r="U57" s="16">
        <f t="shared" ref="U57:U79" si="30">SUM(S57:T57)</f>
        <v>0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3"/>
      <c r="N58" s="23"/>
      <c r="O58" s="16">
        <f t="shared" si="28"/>
        <v>0</v>
      </c>
      <c r="P58" s="23"/>
      <c r="Q58" s="23"/>
      <c r="R58" s="16">
        <f t="shared" si="29"/>
        <v>0</v>
      </c>
      <c r="S58" s="23"/>
      <c r="T58" s="23"/>
      <c r="U58" s="16">
        <f t="shared" si="30"/>
        <v>0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3"/>
      <c r="N59" s="23"/>
      <c r="O59" s="16">
        <f t="shared" si="28"/>
        <v>0</v>
      </c>
      <c r="P59" s="23"/>
      <c r="Q59" s="23"/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3"/>
      <c r="N60" s="23"/>
      <c r="O60" s="16">
        <f t="shared" si="28"/>
        <v>0</v>
      </c>
      <c r="P60" s="23"/>
      <c r="Q60" s="23"/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3"/>
      <c r="N61" s="23"/>
      <c r="O61" s="16">
        <f t="shared" si="28"/>
        <v>0</v>
      </c>
      <c r="P61" s="23"/>
      <c r="Q61" s="23"/>
      <c r="R61" s="16">
        <f t="shared" si="29"/>
        <v>0</v>
      </c>
      <c r="S61" s="23"/>
      <c r="T61" s="23"/>
      <c r="U61" s="16">
        <f t="shared" si="30"/>
        <v>0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3"/>
      <c r="N62" s="23"/>
      <c r="O62" s="16">
        <f t="shared" si="28"/>
        <v>0</v>
      </c>
      <c r="P62" s="23"/>
      <c r="Q62" s="23"/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3"/>
      <c r="N63" s="23"/>
      <c r="O63" s="16">
        <f t="shared" si="28"/>
        <v>0</v>
      </c>
      <c r="P63" s="23"/>
      <c r="Q63" s="23"/>
      <c r="R63" s="16">
        <f t="shared" si="29"/>
        <v>0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3"/>
      <c r="N64" s="23"/>
      <c r="O64" s="16">
        <f t="shared" si="28"/>
        <v>0</v>
      </c>
      <c r="P64" s="23"/>
      <c r="Q64" s="23"/>
      <c r="R64" s="16">
        <f t="shared" si="29"/>
        <v>0</v>
      </c>
      <c r="S64" s="23"/>
      <c r="T64" s="23"/>
      <c r="U64" s="16">
        <f t="shared" si="30"/>
        <v>0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3"/>
      <c r="N65" s="23"/>
      <c r="O65" s="16">
        <f t="shared" si="28"/>
        <v>0</v>
      </c>
      <c r="P65" s="23"/>
      <c r="Q65" s="23"/>
      <c r="R65" s="16">
        <f t="shared" si="29"/>
        <v>0</v>
      </c>
      <c r="S65" s="23"/>
      <c r="T65" s="23"/>
      <c r="U65" s="16">
        <f t="shared" si="30"/>
        <v>0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3"/>
      <c r="N66" s="23"/>
      <c r="O66" s="16">
        <f t="shared" si="28"/>
        <v>0</v>
      </c>
      <c r="P66" s="23"/>
      <c r="Q66" s="23"/>
      <c r="R66" s="16">
        <f t="shared" si="29"/>
        <v>0</v>
      </c>
      <c r="S66" s="23"/>
      <c r="T66" s="23"/>
      <c r="U66" s="16">
        <f t="shared" si="30"/>
        <v>0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3"/>
      <c r="N67" s="23"/>
      <c r="O67" s="16">
        <f t="shared" si="28"/>
        <v>0</v>
      </c>
      <c r="P67" s="23"/>
      <c r="Q67" s="23"/>
      <c r="R67" s="16">
        <f t="shared" si="29"/>
        <v>0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3"/>
      <c r="N68" s="23"/>
      <c r="O68" s="16">
        <f t="shared" si="28"/>
        <v>0</v>
      </c>
      <c r="P68" s="23"/>
      <c r="Q68" s="23"/>
      <c r="R68" s="16">
        <f t="shared" si="29"/>
        <v>0</v>
      </c>
      <c r="S68" s="23"/>
      <c r="T68" s="23"/>
      <c r="U68" s="16">
        <f t="shared" si="30"/>
        <v>0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3"/>
      <c r="N69" s="23"/>
      <c r="O69" s="16">
        <f t="shared" si="28"/>
        <v>0</v>
      </c>
      <c r="P69" s="23"/>
      <c r="Q69" s="23"/>
      <c r="R69" s="16">
        <f t="shared" si="29"/>
        <v>0</v>
      </c>
      <c r="S69" s="23"/>
      <c r="T69" s="23"/>
      <c r="U69" s="16">
        <f t="shared" si="30"/>
        <v>0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3"/>
      <c r="N70" s="23"/>
      <c r="O70" s="16">
        <f t="shared" si="28"/>
        <v>0</v>
      </c>
      <c r="P70" s="23"/>
      <c r="Q70" s="23"/>
      <c r="R70" s="16">
        <f t="shared" si="29"/>
        <v>0</v>
      </c>
      <c r="S70" s="23"/>
      <c r="T70" s="23"/>
      <c r="U70" s="16">
        <f t="shared" si="30"/>
        <v>0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3"/>
      <c r="N71" s="23"/>
      <c r="O71" s="16">
        <f t="shared" si="28"/>
        <v>0</v>
      </c>
      <c r="P71" s="23"/>
      <c r="Q71" s="23"/>
      <c r="R71" s="16">
        <f t="shared" si="29"/>
        <v>0</v>
      </c>
      <c r="S71" s="23"/>
      <c r="T71" s="23"/>
      <c r="U71" s="16">
        <f t="shared" si="30"/>
        <v>0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3"/>
      <c r="N72" s="23"/>
      <c r="O72" s="16">
        <f t="shared" si="28"/>
        <v>0</v>
      </c>
      <c r="P72" s="23"/>
      <c r="Q72" s="23"/>
      <c r="R72" s="16">
        <f t="shared" si="29"/>
        <v>0</v>
      </c>
      <c r="S72" s="23"/>
      <c r="T72" s="23"/>
      <c r="U72" s="16">
        <f t="shared" si="30"/>
        <v>0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3"/>
      <c r="N73" s="23"/>
      <c r="O73" s="16">
        <f t="shared" si="28"/>
        <v>0</v>
      </c>
      <c r="P73" s="23"/>
      <c r="Q73" s="23"/>
      <c r="R73" s="16">
        <f t="shared" si="29"/>
        <v>0</v>
      </c>
      <c r="S73" s="23"/>
      <c r="T73" s="23"/>
      <c r="U73" s="16">
        <f t="shared" si="30"/>
        <v>0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3"/>
      <c r="N74" s="23"/>
      <c r="O74" s="16">
        <f t="shared" si="28"/>
        <v>0</v>
      </c>
      <c r="P74" s="23"/>
      <c r="Q74" s="23"/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3"/>
      <c r="N75" s="23"/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3"/>
      <c r="N76" s="23"/>
      <c r="O76" s="16">
        <f t="shared" si="28"/>
        <v>0</v>
      </c>
      <c r="P76" s="23"/>
      <c r="Q76" s="23"/>
      <c r="R76" s="16">
        <f t="shared" si="29"/>
        <v>0</v>
      </c>
      <c r="S76" s="23"/>
      <c r="T76" s="23"/>
      <c r="U76" s="16">
        <f t="shared" si="30"/>
        <v>0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3"/>
      <c r="N77" s="23"/>
      <c r="O77" s="16">
        <f t="shared" si="28"/>
        <v>0</v>
      </c>
      <c r="P77" s="23"/>
      <c r="Q77" s="23"/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3"/>
      <c r="N78" s="23"/>
      <c r="O78" s="16">
        <f t="shared" si="28"/>
        <v>0</v>
      </c>
      <c r="P78" s="23"/>
      <c r="Q78" s="23"/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3"/>
      <c r="N79" s="23"/>
      <c r="O79" s="16">
        <f t="shared" si="28"/>
        <v>0</v>
      </c>
      <c r="P79" s="23"/>
      <c r="Q79" s="23"/>
      <c r="R79" s="16">
        <f t="shared" si="29"/>
        <v>0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88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0</v>
      </c>
      <c r="E8" s="16">
        <f t="shared" si="1"/>
        <v>0</v>
      </c>
      <c r="F8" s="16">
        <f t="shared" si="1"/>
        <v>0</v>
      </c>
      <c r="G8" s="16">
        <f t="shared" si="1"/>
        <v>0</v>
      </c>
      <c r="H8" s="16">
        <f t="shared" si="1"/>
        <v>0</v>
      </c>
      <c r="I8" s="16">
        <f t="shared" si="1"/>
        <v>0</v>
      </c>
      <c r="J8" s="16">
        <f t="shared" si="1"/>
        <v>0</v>
      </c>
      <c r="K8" s="16">
        <f t="shared" si="1"/>
        <v>0</v>
      </c>
      <c r="L8" s="16">
        <f t="shared" si="1"/>
        <v>0</v>
      </c>
      <c r="M8" s="16">
        <f t="shared" si="1"/>
        <v>0</v>
      </c>
      <c r="N8" s="16">
        <f t="shared" si="1"/>
        <v>0</v>
      </c>
      <c r="O8" s="16">
        <f t="shared" si="1"/>
        <v>0</v>
      </c>
      <c r="P8" s="16">
        <f t="shared" si="1"/>
        <v>0</v>
      </c>
      <c r="Q8" s="16">
        <f t="shared" si="1"/>
        <v>0</v>
      </c>
      <c r="R8" s="16">
        <f t="shared" si="1"/>
        <v>0</v>
      </c>
      <c r="S8" s="16">
        <f t="shared" si="1"/>
        <v>0</v>
      </c>
      <c r="T8" s="16">
        <f t="shared" si="1"/>
        <v>0</v>
      </c>
      <c r="U8" s="16">
        <f t="shared" si="1"/>
        <v>0</v>
      </c>
    </row>
    <row r="9">
      <c r="A9" s="17">
        <v>2.0</v>
      </c>
      <c r="B9" s="18" t="s">
        <v>15</v>
      </c>
      <c r="C9" s="9"/>
      <c r="D9" s="16">
        <f t="shared" ref="D9:U9" si="2">SUM(D10:D17)</f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</row>
    <row r="10">
      <c r="A10" s="19"/>
      <c r="B10" s="20" t="s">
        <v>16</v>
      </c>
      <c r="C10" s="21" t="s">
        <v>17</v>
      </c>
      <c r="D10" s="23"/>
      <c r="E10" s="23"/>
      <c r="F10" s="16">
        <f t="shared" ref="F10:F17" si="3">SUM(D10:E10)</f>
        <v>0</v>
      </c>
      <c r="G10" s="23"/>
      <c r="H10" s="23"/>
      <c r="I10" s="16">
        <f t="shared" ref="I10:I17" si="4">SUM(G10:H10)</f>
        <v>0</v>
      </c>
      <c r="J10" s="23"/>
      <c r="K10" s="23"/>
      <c r="L10" s="16">
        <f t="shared" ref="L10:L17" si="5">SUM(J10:K10)</f>
        <v>0</v>
      </c>
      <c r="M10" s="23"/>
      <c r="N10" s="23"/>
      <c r="O10" s="16">
        <f t="shared" ref="O10:O17" si="6">SUM(M10:N10)</f>
        <v>0</v>
      </c>
      <c r="P10" s="23"/>
      <c r="Q10" s="23"/>
      <c r="R10" s="16">
        <f t="shared" ref="R10:R17" si="7">SUM(P10:Q10)</f>
        <v>0</v>
      </c>
      <c r="S10" s="23"/>
      <c r="T10" s="23"/>
      <c r="U10" s="16">
        <f t="shared" ref="U10:U17" si="8">SUM(S10:T10)</f>
        <v>0</v>
      </c>
    </row>
    <row r="11">
      <c r="A11" s="19"/>
      <c r="B11" s="20" t="s">
        <v>19</v>
      </c>
      <c r="C11" s="21" t="s">
        <v>20</v>
      </c>
      <c r="D11" s="23"/>
      <c r="E11" s="23"/>
      <c r="F11" s="16">
        <f t="shared" si="3"/>
        <v>0</v>
      </c>
      <c r="G11" s="23"/>
      <c r="H11" s="23"/>
      <c r="I11" s="16">
        <f t="shared" si="4"/>
        <v>0</v>
      </c>
      <c r="J11" s="23"/>
      <c r="K11" s="23"/>
      <c r="L11" s="16">
        <f t="shared" si="5"/>
        <v>0</v>
      </c>
      <c r="M11" s="23"/>
      <c r="N11" s="23"/>
      <c r="O11" s="16">
        <f t="shared" si="6"/>
        <v>0</v>
      </c>
      <c r="P11" s="23"/>
      <c r="Q11" s="23"/>
      <c r="R11" s="16">
        <f t="shared" si="7"/>
        <v>0</v>
      </c>
      <c r="S11" s="23"/>
      <c r="T11" s="23"/>
      <c r="U11" s="16">
        <f t="shared" si="8"/>
        <v>0</v>
      </c>
    </row>
    <row r="12">
      <c r="A12" s="19"/>
      <c r="B12" s="20" t="s">
        <v>22</v>
      </c>
      <c r="C12" s="21" t="s">
        <v>23</v>
      </c>
      <c r="D12" s="23"/>
      <c r="E12" s="23"/>
      <c r="F12" s="16">
        <f t="shared" si="3"/>
        <v>0</v>
      </c>
      <c r="G12" s="23"/>
      <c r="H12" s="23"/>
      <c r="I12" s="16">
        <f t="shared" si="4"/>
        <v>0</v>
      </c>
      <c r="J12" s="23"/>
      <c r="K12" s="23"/>
      <c r="L12" s="16">
        <f t="shared" si="5"/>
        <v>0</v>
      </c>
      <c r="M12" s="23"/>
      <c r="N12" s="23"/>
      <c r="O12" s="16">
        <f t="shared" si="6"/>
        <v>0</v>
      </c>
      <c r="P12" s="23"/>
      <c r="Q12" s="23"/>
      <c r="R12" s="16">
        <f t="shared" si="7"/>
        <v>0</v>
      </c>
      <c r="S12" s="23"/>
      <c r="T12" s="23"/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3"/>
      <c r="E13" s="23"/>
      <c r="F13" s="16">
        <f t="shared" si="3"/>
        <v>0</v>
      </c>
      <c r="G13" s="23"/>
      <c r="H13" s="23"/>
      <c r="I13" s="16">
        <f t="shared" si="4"/>
        <v>0</v>
      </c>
      <c r="J13" s="23"/>
      <c r="K13" s="23"/>
      <c r="L13" s="16">
        <f t="shared" si="5"/>
        <v>0</v>
      </c>
      <c r="M13" s="23"/>
      <c r="N13" s="23"/>
      <c r="O13" s="16">
        <f t="shared" si="6"/>
        <v>0</v>
      </c>
      <c r="P13" s="23"/>
      <c r="Q13" s="23"/>
      <c r="R13" s="16">
        <f t="shared" si="7"/>
        <v>0</v>
      </c>
      <c r="S13" s="23"/>
      <c r="T13" s="23"/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3"/>
      <c r="E14" s="23"/>
      <c r="F14" s="16">
        <f t="shared" si="3"/>
        <v>0</v>
      </c>
      <c r="G14" s="23"/>
      <c r="H14" s="23"/>
      <c r="I14" s="16">
        <f t="shared" si="4"/>
        <v>0</v>
      </c>
      <c r="J14" s="23"/>
      <c r="K14" s="23"/>
      <c r="L14" s="16">
        <f t="shared" si="5"/>
        <v>0</v>
      </c>
      <c r="M14" s="23"/>
      <c r="N14" s="23"/>
      <c r="O14" s="16">
        <f t="shared" si="6"/>
        <v>0</v>
      </c>
      <c r="P14" s="23"/>
      <c r="Q14" s="23"/>
      <c r="R14" s="16">
        <f t="shared" si="7"/>
        <v>0</v>
      </c>
      <c r="S14" s="23"/>
      <c r="T14" s="23"/>
      <c r="U14" s="16">
        <f t="shared" si="8"/>
        <v>0</v>
      </c>
    </row>
    <row r="15">
      <c r="A15" s="19"/>
      <c r="B15" s="20" t="s">
        <v>29</v>
      </c>
      <c r="C15" s="21" t="s">
        <v>30</v>
      </c>
      <c r="D15" s="23"/>
      <c r="E15" s="23"/>
      <c r="F15" s="16">
        <f t="shared" si="3"/>
        <v>0</v>
      </c>
      <c r="G15" s="23"/>
      <c r="H15" s="23"/>
      <c r="I15" s="16">
        <f t="shared" si="4"/>
        <v>0</v>
      </c>
      <c r="J15" s="23"/>
      <c r="K15" s="23"/>
      <c r="L15" s="16">
        <f t="shared" si="5"/>
        <v>0</v>
      </c>
      <c r="M15" s="23"/>
      <c r="N15" s="23"/>
      <c r="O15" s="16">
        <f t="shared" si="6"/>
        <v>0</v>
      </c>
      <c r="P15" s="23"/>
      <c r="Q15" s="23"/>
      <c r="R15" s="16">
        <f t="shared" si="7"/>
        <v>0</v>
      </c>
      <c r="S15" s="23"/>
      <c r="T15" s="23"/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3"/>
      <c r="E16" s="23"/>
      <c r="F16" s="16">
        <f t="shared" si="3"/>
        <v>0</v>
      </c>
      <c r="G16" s="23"/>
      <c r="H16" s="23"/>
      <c r="I16" s="16">
        <f t="shared" si="4"/>
        <v>0</v>
      </c>
      <c r="J16" s="23"/>
      <c r="K16" s="23"/>
      <c r="L16" s="16">
        <f t="shared" si="5"/>
        <v>0</v>
      </c>
      <c r="M16" s="23"/>
      <c r="N16" s="23"/>
      <c r="O16" s="16">
        <f t="shared" si="6"/>
        <v>0</v>
      </c>
      <c r="P16" s="23"/>
      <c r="Q16" s="23"/>
      <c r="R16" s="16">
        <f t="shared" si="7"/>
        <v>0</v>
      </c>
      <c r="S16" s="23"/>
      <c r="T16" s="23"/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3"/>
      <c r="E17" s="23"/>
      <c r="F17" s="16">
        <f t="shared" si="3"/>
        <v>0</v>
      </c>
      <c r="G17" s="23"/>
      <c r="H17" s="23"/>
      <c r="I17" s="16">
        <f t="shared" si="4"/>
        <v>0</v>
      </c>
      <c r="J17" s="23"/>
      <c r="K17" s="23"/>
      <c r="L17" s="16">
        <f t="shared" si="5"/>
        <v>0</v>
      </c>
      <c r="M17" s="23"/>
      <c r="N17" s="23"/>
      <c r="O17" s="16">
        <f t="shared" si="6"/>
        <v>0</v>
      </c>
      <c r="P17" s="23"/>
      <c r="Q17" s="23"/>
      <c r="R17" s="16">
        <f t="shared" si="7"/>
        <v>0</v>
      </c>
      <c r="S17" s="23"/>
      <c r="T17" s="23"/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0</v>
      </c>
      <c r="E18" s="16">
        <f t="shared" si="9"/>
        <v>0</v>
      </c>
      <c r="F18" s="16">
        <f t="shared" si="9"/>
        <v>0</v>
      </c>
      <c r="G18" s="16">
        <f t="shared" si="9"/>
        <v>0</v>
      </c>
      <c r="H18" s="16">
        <f t="shared" si="9"/>
        <v>0</v>
      </c>
      <c r="I18" s="16">
        <f t="shared" si="9"/>
        <v>0</v>
      </c>
      <c r="J18" s="16">
        <f t="shared" si="9"/>
        <v>0</v>
      </c>
      <c r="K18" s="16">
        <f t="shared" si="9"/>
        <v>0</v>
      </c>
      <c r="L18" s="16">
        <f t="shared" si="9"/>
        <v>0</v>
      </c>
      <c r="M18" s="16">
        <f t="shared" si="9"/>
        <v>0</v>
      </c>
      <c r="N18" s="16">
        <f t="shared" si="9"/>
        <v>0</v>
      </c>
      <c r="O18" s="16">
        <f t="shared" si="9"/>
        <v>0</v>
      </c>
      <c r="P18" s="16">
        <f t="shared" si="9"/>
        <v>0</v>
      </c>
      <c r="Q18" s="16">
        <f t="shared" si="9"/>
        <v>0</v>
      </c>
      <c r="R18" s="16">
        <f t="shared" si="9"/>
        <v>0</v>
      </c>
      <c r="S18" s="16">
        <f t="shared" si="9"/>
        <v>0</v>
      </c>
      <c r="T18" s="16">
        <f t="shared" si="9"/>
        <v>0</v>
      </c>
      <c r="U18" s="16">
        <f t="shared" si="9"/>
        <v>0</v>
      </c>
    </row>
    <row r="19">
      <c r="A19" s="19"/>
      <c r="B19" s="20" t="s">
        <v>16</v>
      </c>
      <c r="C19" s="21" t="s">
        <v>36</v>
      </c>
      <c r="D19" s="23"/>
      <c r="E19" s="23"/>
      <c r="F19" s="16">
        <f t="shared" ref="F19:F41" si="10">SUM(D19:E19)</f>
        <v>0</v>
      </c>
      <c r="G19" s="23"/>
      <c r="H19" s="23"/>
      <c r="I19" s="16">
        <f t="shared" ref="I19:I41" si="11">SUM(G19:H19)</f>
        <v>0</v>
      </c>
      <c r="J19" s="23"/>
      <c r="K19" s="23"/>
      <c r="L19" s="16">
        <f t="shared" ref="L19:L41" si="12">SUM(J19:K19)</f>
        <v>0</v>
      </c>
      <c r="M19" s="23"/>
      <c r="N19" s="23"/>
      <c r="O19" s="16">
        <f t="shared" ref="O19:O41" si="13">SUM(M19:N19)</f>
        <v>0</v>
      </c>
      <c r="P19" s="23"/>
      <c r="Q19" s="23"/>
      <c r="R19" s="16">
        <f t="shared" ref="R19:R41" si="14">SUM(P19:Q19)</f>
        <v>0</v>
      </c>
      <c r="S19" s="23"/>
      <c r="T19" s="23"/>
      <c r="U19" s="16">
        <f t="shared" ref="U19:U41" si="15">SUM(S19:T19)</f>
        <v>0</v>
      </c>
    </row>
    <row r="20">
      <c r="A20" s="19"/>
      <c r="B20" s="20" t="s">
        <v>19</v>
      </c>
      <c r="C20" s="21" t="s">
        <v>37</v>
      </c>
      <c r="D20" s="23"/>
      <c r="E20" s="23"/>
      <c r="F20" s="16">
        <f t="shared" si="10"/>
        <v>0</v>
      </c>
      <c r="G20" s="23"/>
      <c r="H20" s="23"/>
      <c r="I20" s="16">
        <f t="shared" si="11"/>
        <v>0</v>
      </c>
      <c r="J20" s="23"/>
      <c r="K20" s="23"/>
      <c r="L20" s="16">
        <f t="shared" si="12"/>
        <v>0</v>
      </c>
      <c r="M20" s="23"/>
      <c r="N20" s="23"/>
      <c r="O20" s="16">
        <f t="shared" si="13"/>
        <v>0</v>
      </c>
      <c r="P20" s="23"/>
      <c r="Q20" s="23"/>
      <c r="R20" s="16">
        <f t="shared" si="14"/>
        <v>0</v>
      </c>
      <c r="S20" s="23"/>
      <c r="T20" s="23"/>
      <c r="U20" s="16">
        <f t="shared" si="15"/>
        <v>0</v>
      </c>
    </row>
    <row r="21">
      <c r="A21" s="19"/>
      <c r="B21" s="20" t="s">
        <v>22</v>
      </c>
      <c r="C21" s="21" t="s">
        <v>38</v>
      </c>
      <c r="D21" s="23"/>
      <c r="E21" s="23"/>
      <c r="F21" s="16">
        <f t="shared" si="10"/>
        <v>0</v>
      </c>
      <c r="G21" s="23"/>
      <c r="H21" s="23"/>
      <c r="I21" s="16">
        <f t="shared" si="11"/>
        <v>0</v>
      </c>
      <c r="J21" s="23"/>
      <c r="K21" s="23"/>
      <c r="L21" s="16">
        <f t="shared" si="12"/>
        <v>0</v>
      </c>
      <c r="M21" s="23"/>
      <c r="N21" s="23"/>
      <c r="O21" s="16">
        <f t="shared" si="13"/>
        <v>0</v>
      </c>
      <c r="P21" s="23"/>
      <c r="Q21" s="23"/>
      <c r="R21" s="16">
        <f t="shared" si="14"/>
        <v>0</v>
      </c>
      <c r="S21" s="23"/>
      <c r="T21" s="23"/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3"/>
      <c r="E22" s="23"/>
      <c r="F22" s="16">
        <f t="shared" si="10"/>
        <v>0</v>
      </c>
      <c r="G22" s="23"/>
      <c r="H22" s="23"/>
      <c r="I22" s="16">
        <f t="shared" si="11"/>
        <v>0</v>
      </c>
      <c r="J22" s="23"/>
      <c r="K22" s="23"/>
      <c r="L22" s="16">
        <f t="shared" si="12"/>
        <v>0</v>
      </c>
      <c r="M22" s="23"/>
      <c r="N22" s="23"/>
      <c r="O22" s="16">
        <f t="shared" si="13"/>
        <v>0</v>
      </c>
      <c r="P22" s="23"/>
      <c r="Q22" s="23"/>
      <c r="R22" s="16">
        <f t="shared" si="14"/>
        <v>0</v>
      </c>
      <c r="S22" s="23"/>
      <c r="T22" s="23"/>
      <c r="U22" s="16">
        <f t="shared" si="15"/>
        <v>0</v>
      </c>
    </row>
    <row r="23">
      <c r="A23" s="19"/>
      <c r="B23" s="20" t="s">
        <v>27</v>
      </c>
      <c r="C23" s="21" t="s">
        <v>80</v>
      </c>
      <c r="D23" s="23"/>
      <c r="E23" s="23"/>
      <c r="F23" s="16">
        <f t="shared" si="10"/>
        <v>0</v>
      </c>
      <c r="G23" s="23"/>
      <c r="H23" s="23"/>
      <c r="I23" s="16">
        <f t="shared" si="11"/>
        <v>0</v>
      </c>
      <c r="J23" s="23"/>
      <c r="K23" s="23"/>
      <c r="L23" s="16">
        <f t="shared" si="12"/>
        <v>0</v>
      </c>
      <c r="M23" s="23"/>
      <c r="N23" s="23"/>
      <c r="O23" s="16">
        <f t="shared" si="13"/>
        <v>0</v>
      </c>
      <c r="P23" s="23"/>
      <c r="Q23" s="23"/>
      <c r="R23" s="16">
        <f t="shared" si="14"/>
        <v>0</v>
      </c>
      <c r="S23" s="23"/>
      <c r="T23" s="23"/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3"/>
      <c r="H24" s="23"/>
      <c r="I24" s="16">
        <f t="shared" si="11"/>
        <v>0</v>
      </c>
      <c r="J24" s="23"/>
      <c r="K24" s="23"/>
      <c r="L24" s="16">
        <f t="shared" si="12"/>
        <v>0</v>
      </c>
      <c r="M24" s="23"/>
      <c r="N24" s="23"/>
      <c r="O24" s="16">
        <f t="shared" si="13"/>
        <v>0</v>
      </c>
      <c r="P24" s="23"/>
      <c r="Q24" s="23"/>
      <c r="R24" s="16">
        <f t="shared" si="14"/>
        <v>0</v>
      </c>
      <c r="S24" s="23"/>
      <c r="T24" s="23"/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3"/>
      <c r="E25" s="23"/>
      <c r="F25" s="16">
        <f t="shared" si="10"/>
        <v>0</v>
      </c>
      <c r="G25" s="23"/>
      <c r="H25" s="23"/>
      <c r="I25" s="16">
        <f t="shared" si="11"/>
        <v>0</v>
      </c>
      <c r="J25" s="23"/>
      <c r="K25" s="23"/>
      <c r="L25" s="16">
        <f t="shared" si="12"/>
        <v>0</v>
      </c>
      <c r="M25" s="23"/>
      <c r="N25" s="23"/>
      <c r="O25" s="16">
        <f t="shared" si="13"/>
        <v>0</v>
      </c>
      <c r="P25" s="23"/>
      <c r="Q25" s="23"/>
      <c r="R25" s="16">
        <f t="shared" si="14"/>
        <v>0</v>
      </c>
      <c r="S25" s="23"/>
      <c r="T25" s="23"/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3"/>
      <c r="E26" s="23"/>
      <c r="F26" s="16">
        <f t="shared" si="10"/>
        <v>0</v>
      </c>
      <c r="G26" s="23"/>
      <c r="H26" s="23"/>
      <c r="I26" s="16">
        <f t="shared" si="11"/>
        <v>0</v>
      </c>
      <c r="J26" s="23"/>
      <c r="K26" s="23"/>
      <c r="L26" s="16">
        <f t="shared" si="12"/>
        <v>0</v>
      </c>
      <c r="M26" s="23"/>
      <c r="N26" s="23"/>
      <c r="O26" s="16">
        <f t="shared" si="13"/>
        <v>0</v>
      </c>
      <c r="P26" s="23"/>
      <c r="Q26" s="23"/>
      <c r="R26" s="16">
        <f t="shared" si="14"/>
        <v>0</v>
      </c>
      <c r="S26" s="23"/>
      <c r="T26" s="23"/>
      <c r="U26" s="16">
        <f t="shared" si="15"/>
        <v>0</v>
      </c>
    </row>
    <row r="27">
      <c r="A27" s="19"/>
      <c r="B27" s="20" t="s">
        <v>44</v>
      </c>
      <c r="C27" s="21" t="s">
        <v>45</v>
      </c>
      <c r="D27" s="23"/>
      <c r="E27" s="23"/>
      <c r="F27" s="16">
        <f t="shared" si="10"/>
        <v>0</v>
      </c>
      <c r="G27" s="23"/>
      <c r="H27" s="23"/>
      <c r="I27" s="16">
        <f t="shared" si="11"/>
        <v>0</v>
      </c>
      <c r="J27" s="23"/>
      <c r="K27" s="23"/>
      <c r="L27" s="16">
        <f t="shared" si="12"/>
        <v>0</v>
      </c>
      <c r="M27" s="23"/>
      <c r="N27" s="23"/>
      <c r="O27" s="16">
        <f t="shared" si="13"/>
        <v>0</v>
      </c>
      <c r="P27" s="23"/>
      <c r="Q27" s="23"/>
      <c r="R27" s="16">
        <f t="shared" si="14"/>
        <v>0</v>
      </c>
      <c r="S27" s="23"/>
      <c r="T27" s="23"/>
      <c r="U27" s="16">
        <f t="shared" si="15"/>
        <v>0</v>
      </c>
    </row>
    <row r="28">
      <c r="A28" s="19"/>
      <c r="B28" s="20" t="s">
        <v>46</v>
      </c>
      <c r="C28" s="21" t="s">
        <v>47</v>
      </c>
      <c r="D28" s="23"/>
      <c r="E28" s="23"/>
      <c r="F28" s="16">
        <f t="shared" si="10"/>
        <v>0</v>
      </c>
      <c r="G28" s="23"/>
      <c r="H28" s="23"/>
      <c r="I28" s="16">
        <f t="shared" si="11"/>
        <v>0</v>
      </c>
      <c r="J28" s="23"/>
      <c r="K28" s="23"/>
      <c r="L28" s="16">
        <f t="shared" si="12"/>
        <v>0</v>
      </c>
      <c r="M28" s="23"/>
      <c r="N28" s="23"/>
      <c r="O28" s="16">
        <f t="shared" si="13"/>
        <v>0</v>
      </c>
      <c r="P28" s="23"/>
      <c r="Q28" s="23"/>
      <c r="R28" s="16">
        <f t="shared" si="14"/>
        <v>0</v>
      </c>
      <c r="S28" s="23"/>
      <c r="T28" s="23"/>
      <c r="U28" s="16">
        <f t="shared" si="15"/>
        <v>0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3"/>
      <c r="H29" s="23"/>
      <c r="I29" s="16">
        <f t="shared" si="11"/>
        <v>0</v>
      </c>
      <c r="J29" s="23"/>
      <c r="K29" s="23"/>
      <c r="L29" s="16">
        <f t="shared" si="12"/>
        <v>0</v>
      </c>
      <c r="M29" s="23"/>
      <c r="N29" s="23"/>
      <c r="O29" s="16">
        <f t="shared" si="13"/>
        <v>0</v>
      </c>
      <c r="P29" s="23"/>
      <c r="Q29" s="23"/>
      <c r="R29" s="16">
        <f t="shared" si="14"/>
        <v>0</v>
      </c>
      <c r="S29" s="23"/>
      <c r="T29" s="23"/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3"/>
      <c r="E30" s="23"/>
      <c r="F30" s="16">
        <f t="shared" si="10"/>
        <v>0</v>
      </c>
      <c r="G30" s="23"/>
      <c r="H30" s="23"/>
      <c r="I30" s="16">
        <f t="shared" si="11"/>
        <v>0</v>
      </c>
      <c r="J30" s="23"/>
      <c r="K30" s="23"/>
      <c r="L30" s="16">
        <f t="shared" si="12"/>
        <v>0</v>
      </c>
      <c r="M30" s="23"/>
      <c r="N30" s="23"/>
      <c r="O30" s="16">
        <f t="shared" si="13"/>
        <v>0</v>
      </c>
      <c r="P30" s="23"/>
      <c r="Q30" s="23"/>
      <c r="R30" s="16">
        <f t="shared" si="14"/>
        <v>0</v>
      </c>
      <c r="S30" s="23"/>
      <c r="T30" s="23"/>
      <c r="U30" s="16">
        <f t="shared" si="15"/>
        <v>0</v>
      </c>
    </row>
    <row r="31">
      <c r="A31" s="19"/>
      <c r="B31" s="20" t="s">
        <v>52</v>
      </c>
      <c r="C31" s="21" t="s">
        <v>53</v>
      </c>
      <c r="D31" s="23"/>
      <c r="E31" s="23"/>
      <c r="F31" s="16">
        <f t="shared" si="10"/>
        <v>0</v>
      </c>
      <c r="G31" s="23"/>
      <c r="H31" s="23"/>
      <c r="I31" s="16">
        <f t="shared" si="11"/>
        <v>0</v>
      </c>
      <c r="J31" s="23"/>
      <c r="K31" s="23"/>
      <c r="L31" s="16">
        <f t="shared" si="12"/>
        <v>0</v>
      </c>
      <c r="M31" s="23"/>
      <c r="N31" s="23"/>
      <c r="O31" s="16">
        <f t="shared" si="13"/>
        <v>0</v>
      </c>
      <c r="P31" s="23"/>
      <c r="Q31" s="23"/>
      <c r="R31" s="16">
        <f t="shared" si="14"/>
        <v>0</v>
      </c>
      <c r="S31" s="23"/>
      <c r="T31" s="23"/>
      <c r="U31" s="16">
        <f t="shared" si="15"/>
        <v>0</v>
      </c>
    </row>
    <row r="32">
      <c r="A32" s="19"/>
      <c r="B32" s="20" t="s">
        <v>54</v>
      </c>
      <c r="C32" s="21" t="s">
        <v>55</v>
      </c>
      <c r="D32" s="23"/>
      <c r="E32" s="23"/>
      <c r="F32" s="16">
        <f t="shared" si="10"/>
        <v>0</v>
      </c>
      <c r="G32" s="23"/>
      <c r="H32" s="23"/>
      <c r="I32" s="16">
        <f t="shared" si="11"/>
        <v>0</v>
      </c>
      <c r="J32" s="23"/>
      <c r="K32" s="23"/>
      <c r="L32" s="16">
        <f t="shared" si="12"/>
        <v>0</v>
      </c>
      <c r="M32" s="23"/>
      <c r="N32" s="23"/>
      <c r="O32" s="16">
        <f t="shared" si="13"/>
        <v>0</v>
      </c>
      <c r="P32" s="23"/>
      <c r="Q32" s="23"/>
      <c r="R32" s="16">
        <f t="shared" si="14"/>
        <v>0</v>
      </c>
      <c r="S32" s="23"/>
      <c r="T32" s="23"/>
      <c r="U32" s="16">
        <f t="shared" si="15"/>
        <v>0</v>
      </c>
    </row>
    <row r="33">
      <c r="A33" s="19"/>
      <c r="B33" s="20" t="s">
        <v>56</v>
      </c>
      <c r="C33" s="21" t="s">
        <v>57</v>
      </c>
      <c r="D33" s="23"/>
      <c r="E33" s="23"/>
      <c r="F33" s="16">
        <f t="shared" si="10"/>
        <v>0</v>
      </c>
      <c r="G33" s="23"/>
      <c r="H33" s="23"/>
      <c r="I33" s="16">
        <f t="shared" si="11"/>
        <v>0</v>
      </c>
      <c r="J33" s="23"/>
      <c r="K33" s="23"/>
      <c r="L33" s="16">
        <f t="shared" si="12"/>
        <v>0</v>
      </c>
      <c r="M33" s="23"/>
      <c r="N33" s="23"/>
      <c r="O33" s="16">
        <f t="shared" si="13"/>
        <v>0</v>
      </c>
      <c r="P33" s="23"/>
      <c r="Q33" s="23"/>
      <c r="R33" s="16">
        <f t="shared" si="14"/>
        <v>0</v>
      </c>
      <c r="S33" s="23"/>
      <c r="T33" s="23"/>
      <c r="U33" s="16">
        <f t="shared" si="15"/>
        <v>0</v>
      </c>
    </row>
    <row r="34">
      <c r="A34" s="19"/>
      <c r="B34" s="20" t="s">
        <v>58</v>
      </c>
      <c r="C34" s="21" t="s">
        <v>59</v>
      </c>
      <c r="D34" s="23"/>
      <c r="E34" s="23"/>
      <c r="F34" s="16">
        <f t="shared" si="10"/>
        <v>0</v>
      </c>
      <c r="G34" s="23"/>
      <c r="H34" s="23"/>
      <c r="I34" s="16">
        <f t="shared" si="11"/>
        <v>0</v>
      </c>
      <c r="J34" s="23"/>
      <c r="K34" s="23"/>
      <c r="L34" s="16">
        <f t="shared" si="12"/>
        <v>0</v>
      </c>
      <c r="M34" s="23"/>
      <c r="N34" s="23"/>
      <c r="O34" s="16">
        <f t="shared" si="13"/>
        <v>0</v>
      </c>
      <c r="P34" s="23"/>
      <c r="Q34" s="23"/>
      <c r="R34" s="16">
        <f t="shared" si="14"/>
        <v>0</v>
      </c>
      <c r="S34" s="23"/>
      <c r="T34" s="23"/>
      <c r="U34" s="16">
        <f t="shared" si="15"/>
        <v>0</v>
      </c>
    </row>
    <row r="35">
      <c r="A35" s="19"/>
      <c r="B35" s="20" t="s">
        <v>60</v>
      </c>
      <c r="C35" s="21" t="s">
        <v>61</v>
      </c>
      <c r="D35" s="23"/>
      <c r="E35" s="23"/>
      <c r="F35" s="16">
        <f t="shared" si="10"/>
        <v>0</v>
      </c>
      <c r="G35" s="23"/>
      <c r="H35" s="23"/>
      <c r="I35" s="16">
        <f t="shared" si="11"/>
        <v>0</v>
      </c>
      <c r="J35" s="23"/>
      <c r="K35" s="23"/>
      <c r="L35" s="16">
        <f t="shared" si="12"/>
        <v>0</v>
      </c>
      <c r="M35" s="23"/>
      <c r="N35" s="23"/>
      <c r="O35" s="16">
        <f t="shared" si="13"/>
        <v>0</v>
      </c>
      <c r="P35" s="23"/>
      <c r="Q35" s="23"/>
      <c r="R35" s="16">
        <f t="shared" si="14"/>
        <v>0</v>
      </c>
      <c r="S35" s="23"/>
      <c r="T35" s="23"/>
      <c r="U35" s="16">
        <f t="shared" si="15"/>
        <v>0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3"/>
      <c r="H36" s="23"/>
      <c r="I36" s="16">
        <f t="shared" si="11"/>
        <v>0</v>
      </c>
      <c r="J36" s="23"/>
      <c r="K36" s="23"/>
      <c r="L36" s="16">
        <f t="shared" si="12"/>
        <v>0</v>
      </c>
      <c r="M36" s="23"/>
      <c r="N36" s="23"/>
      <c r="O36" s="16">
        <f t="shared" si="13"/>
        <v>0</v>
      </c>
      <c r="P36" s="23"/>
      <c r="Q36" s="23"/>
      <c r="R36" s="16">
        <f t="shared" si="14"/>
        <v>0</v>
      </c>
      <c r="S36" s="23"/>
      <c r="T36" s="23"/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3"/>
      <c r="H37" s="23"/>
      <c r="I37" s="16">
        <f t="shared" si="11"/>
        <v>0</v>
      </c>
      <c r="J37" s="23"/>
      <c r="K37" s="23"/>
      <c r="L37" s="16">
        <f t="shared" si="12"/>
        <v>0</v>
      </c>
      <c r="M37" s="23"/>
      <c r="N37" s="23"/>
      <c r="O37" s="16">
        <f t="shared" si="13"/>
        <v>0</v>
      </c>
      <c r="P37" s="23"/>
      <c r="Q37" s="23"/>
      <c r="R37" s="16">
        <f t="shared" si="14"/>
        <v>0</v>
      </c>
      <c r="S37" s="23"/>
      <c r="T37" s="23"/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3"/>
      <c r="F38" s="16">
        <f t="shared" si="10"/>
        <v>0</v>
      </c>
      <c r="G38" s="23"/>
      <c r="H38" s="23"/>
      <c r="I38" s="16">
        <f t="shared" si="11"/>
        <v>0</v>
      </c>
      <c r="J38" s="23"/>
      <c r="K38" s="23"/>
      <c r="L38" s="16">
        <f t="shared" si="12"/>
        <v>0</v>
      </c>
      <c r="M38" s="23"/>
      <c r="N38" s="23"/>
      <c r="O38" s="16">
        <f t="shared" si="13"/>
        <v>0</v>
      </c>
      <c r="P38" s="23"/>
      <c r="Q38" s="23"/>
      <c r="R38" s="16">
        <f t="shared" si="14"/>
        <v>0</v>
      </c>
      <c r="S38" s="23"/>
      <c r="T38" s="23"/>
      <c r="U38" s="16">
        <f t="shared" si="15"/>
        <v>0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3"/>
      <c r="H39" s="23"/>
      <c r="I39" s="16">
        <f t="shared" si="11"/>
        <v>0</v>
      </c>
      <c r="J39" s="23"/>
      <c r="K39" s="23"/>
      <c r="L39" s="16">
        <f t="shared" si="12"/>
        <v>0</v>
      </c>
      <c r="M39" s="23"/>
      <c r="N39" s="23"/>
      <c r="O39" s="16">
        <f t="shared" si="13"/>
        <v>0</v>
      </c>
      <c r="P39" s="23"/>
      <c r="Q39" s="23"/>
      <c r="R39" s="16">
        <f t="shared" si="14"/>
        <v>0</v>
      </c>
      <c r="S39" s="23"/>
      <c r="T39" s="23"/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3"/>
      <c r="H40" s="23"/>
      <c r="I40" s="16">
        <f t="shared" si="11"/>
        <v>0</v>
      </c>
      <c r="J40" s="23"/>
      <c r="K40" s="23"/>
      <c r="L40" s="16">
        <f t="shared" si="12"/>
        <v>0</v>
      </c>
      <c r="M40" s="23"/>
      <c r="N40" s="23"/>
      <c r="O40" s="16">
        <f t="shared" si="13"/>
        <v>0</v>
      </c>
      <c r="P40" s="23"/>
      <c r="Q40" s="23"/>
      <c r="R40" s="16">
        <f t="shared" si="14"/>
        <v>0</v>
      </c>
      <c r="S40" s="23"/>
      <c r="T40" s="23"/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3"/>
      <c r="H41" s="23"/>
      <c r="I41" s="16">
        <f t="shared" si="11"/>
        <v>0</v>
      </c>
      <c r="J41" s="23"/>
      <c r="K41" s="23"/>
      <c r="L41" s="16">
        <f t="shared" si="12"/>
        <v>0</v>
      </c>
      <c r="M41" s="23"/>
      <c r="N41" s="23"/>
      <c r="O41" s="16">
        <f t="shared" si="13"/>
        <v>0</v>
      </c>
      <c r="P41" s="23"/>
      <c r="Q41" s="23"/>
      <c r="R41" s="16">
        <f t="shared" si="14"/>
        <v>0</v>
      </c>
      <c r="S41" s="23"/>
      <c r="T41" s="23"/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0</v>
      </c>
      <c r="N46" s="16">
        <f t="shared" si="16"/>
        <v>0</v>
      </c>
      <c r="O46" s="16">
        <f t="shared" si="16"/>
        <v>0</v>
      </c>
      <c r="P46" s="16">
        <f t="shared" si="16"/>
        <v>0</v>
      </c>
      <c r="Q46" s="16">
        <f t="shared" si="16"/>
        <v>0</v>
      </c>
      <c r="R46" s="16">
        <f t="shared" si="16"/>
        <v>0</v>
      </c>
      <c r="S46" s="16">
        <f t="shared" si="16"/>
        <v>0</v>
      </c>
      <c r="T46" s="16">
        <f t="shared" si="16"/>
        <v>0</v>
      </c>
      <c r="U46" s="16">
        <f t="shared" si="16"/>
        <v>0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0</v>
      </c>
      <c r="N47" s="16">
        <f t="shared" si="17"/>
        <v>0</v>
      </c>
      <c r="O47" s="16">
        <f t="shared" si="17"/>
        <v>0</v>
      </c>
      <c r="P47" s="16">
        <f t="shared" si="17"/>
        <v>0</v>
      </c>
      <c r="Q47" s="16">
        <f t="shared" si="17"/>
        <v>0</v>
      </c>
      <c r="R47" s="16">
        <f t="shared" si="17"/>
        <v>0</v>
      </c>
      <c r="S47" s="16">
        <f t="shared" si="17"/>
        <v>0</v>
      </c>
      <c r="T47" s="16">
        <f t="shared" si="17"/>
        <v>0</v>
      </c>
      <c r="U47" s="16">
        <f t="shared" si="17"/>
        <v>0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3"/>
      <c r="N48" s="23"/>
      <c r="O48" s="16">
        <f t="shared" ref="O48:O55" si="21">SUM(M48:N48)</f>
        <v>0</v>
      </c>
      <c r="P48" s="23"/>
      <c r="Q48" s="23"/>
      <c r="R48" s="16">
        <f t="shared" ref="R48:R55" si="22">SUM(P48:Q48)</f>
        <v>0</v>
      </c>
      <c r="S48" s="23"/>
      <c r="T48" s="23"/>
      <c r="U48" s="16">
        <f t="shared" ref="U48:U55" si="23">SUM(S48:T48)</f>
        <v>0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3"/>
      <c r="N49" s="23"/>
      <c r="O49" s="16">
        <f t="shared" si="21"/>
        <v>0</v>
      </c>
      <c r="P49" s="23"/>
      <c r="Q49" s="23"/>
      <c r="R49" s="16">
        <f t="shared" si="22"/>
        <v>0</v>
      </c>
      <c r="S49" s="23"/>
      <c r="T49" s="23"/>
      <c r="U49" s="16">
        <f t="shared" si="23"/>
        <v>0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3"/>
      <c r="N50" s="23"/>
      <c r="O50" s="16">
        <f t="shared" si="21"/>
        <v>0</v>
      </c>
      <c r="P50" s="23"/>
      <c r="Q50" s="23"/>
      <c r="R50" s="16">
        <f t="shared" si="22"/>
        <v>0</v>
      </c>
      <c r="S50" s="23"/>
      <c r="T50" s="23"/>
      <c r="U50" s="16">
        <f t="shared" si="23"/>
        <v>0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3"/>
      <c r="N51" s="23"/>
      <c r="O51" s="16">
        <f t="shared" si="21"/>
        <v>0</v>
      </c>
      <c r="P51" s="23"/>
      <c r="Q51" s="23"/>
      <c r="R51" s="16">
        <f t="shared" si="22"/>
        <v>0</v>
      </c>
      <c r="S51" s="23"/>
      <c r="T51" s="23"/>
      <c r="U51" s="16">
        <f t="shared" si="23"/>
        <v>0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3"/>
      <c r="N52" s="23"/>
      <c r="O52" s="16">
        <f t="shared" si="21"/>
        <v>0</v>
      </c>
      <c r="P52" s="23"/>
      <c r="Q52" s="23"/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3"/>
      <c r="N53" s="23"/>
      <c r="O53" s="16">
        <f t="shared" si="21"/>
        <v>0</v>
      </c>
      <c r="P53" s="23"/>
      <c r="Q53" s="23"/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3"/>
      <c r="N54" s="23"/>
      <c r="O54" s="16">
        <f t="shared" si="21"/>
        <v>0</v>
      </c>
      <c r="P54" s="23"/>
      <c r="Q54" s="23"/>
      <c r="R54" s="16">
        <f t="shared" si="22"/>
        <v>0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3"/>
      <c r="N55" s="23"/>
      <c r="O55" s="16">
        <f t="shared" si="21"/>
        <v>0</v>
      </c>
      <c r="P55" s="23"/>
      <c r="Q55" s="23"/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0</v>
      </c>
      <c r="N56" s="16">
        <f t="shared" si="24"/>
        <v>0</v>
      </c>
      <c r="O56" s="16">
        <f t="shared" si="24"/>
        <v>0</v>
      </c>
      <c r="P56" s="16">
        <f t="shared" si="24"/>
        <v>0</v>
      </c>
      <c r="Q56" s="16">
        <f t="shared" si="24"/>
        <v>0</v>
      </c>
      <c r="R56" s="16">
        <f t="shared" si="24"/>
        <v>0</v>
      </c>
      <c r="S56" s="16">
        <f t="shared" si="24"/>
        <v>0</v>
      </c>
      <c r="T56" s="16">
        <f t="shared" si="24"/>
        <v>0</v>
      </c>
      <c r="U56" s="16">
        <f t="shared" si="24"/>
        <v>0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3"/>
      <c r="N57" s="23"/>
      <c r="O57" s="16">
        <f t="shared" ref="O57:O79" si="28">SUM(M57:N57)</f>
        <v>0</v>
      </c>
      <c r="P57" s="23"/>
      <c r="Q57" s="23"/>
      <c r="R57" s="16">
        <f t="shared" ref="R57:R79" si="29">SUM(P57:Q57)</f>
        <v>0</v>
      </c>
      <c r="S57" s="23"/>
      <c r="T57" s="23"/>
      <c r="U57" s="16">
        <f t="shared" ref="U57:U79" si="30">SUM(S57:T57)</f>
        <v>0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3"/>
      <c r="N58" s="23"/>
      <c r="O58" s="16">
        <f t="shared" si="28"/>
        <v>0</v>
      </c>
      <c r="P58" s="23"/>
      <c r="Q58" s="23"/>
      <c r="R58" s="16">
        <f t="shared" si="29"/>
        <v>0</v>
      </c>
      <c r="S58" s="23"/>
      <c r="T58" s="23"/>
      <c r="U58" s="16">
        <f t="shared" si="30"/>
        <v>0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3"/>
      <c r="N59" s="23"/>
      <c r="O59" s="16">
        <f t="shared" si="28"/>
        <v>0</v>
      </c>
      <c r="P59" s="23"/>
      <c r="Q59" s="23"/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3"/>
      <c r="N60" s="23"/>
      <c r="O60" s="16">
        <f t="shared" si="28"/>
        <v>0</v>
      </c>
      <c r="P60" s="23"/>
      <c r="Q60" s="23"/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3"/>
      <c r="N61" s="23"/>
      <c r="O61" s="16">
        <f t="shared" si="28"/>
        <v>0</v>
      </c>
      <c r="P61" s="23"/>
      <c r="Q61" s="23"/>
      <c r="R61" s="16">
        <f t="shared" si="29"/>
        <v>0</v>
      </c>
      <c r="S61" s="23"/>
      <c r="T61" s="23"/>
      <c r="U61" s="16">
        <f t="shared" si="30"/>
        <v>0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3"/>
      <c r="N62" s="23"/>
      <c r="O62" s="16">
        <f t="shared" si="28"/>
        <v>0</v>
      </c>
      <c r="P62" s="23"/>
      <c r="Q62" s="23"/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3"/>
      <c r="N63" s="23"/>
      <c r="O63" s="16">
        <f t="shared" si="28"/>
        <v>0</v>
      </c>
      <c r="P63" s="23"/>
      <c r="Q63" s="23"/>
      <c r="R63" s="16">
        <f t="shared" si="29"/>
        <v>0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3"/>
      <c r="N64" s="23"/>
      <c r="O64" s="16">
        <f t="shared" si="28"/>
        <v>0</v>
      </c>
      <c r="P64" s="23"/>
      <c r="Q64" s="23"/>
      <c r="R64" s="16">
        <f t="shared" si="29"/>
        <v>0</v>
      </c>
      <c r="S64" s="23"/>
      <c r="T64" s="23"/>
      <c r="U64" s="16">
        <f t="shared" si="30"/>
        <v>0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3"/>
      <c r="N65" s="23"/>
      <c r="O65" s="16">
        <f t="shared" si="28"/>
        <v>0</v>
      </c>
      <c r="P65" s="23"/>
      <c r="Q65" s="23"/>
      <c r="R65" s="16">
        <f t="shared" si="29"/>
        <v>0</v>
      </c>
      <c r="S65" s="23"/>
      <c r="T65" s="23"/>
      <c r="U65" s="16">
        <f t="shared" si="30"/>
        <v>0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3"/>
      <c r="N66" s="23"/>
      <c r="O66" s="16">
        <f t="shared" si="28"/>
        <v>0</v>
      </c>
      <c r="P66" s="23"/>
      <c r="Q66" s="23"/>
      <c r="R66" s="16">
        <f t="shared" si="29"/>
        <v>0</v>
      </c>
      <c r="S66" s="23"/>
      <c r="T66" s="23"/>
      <c r="U66" s="16">
        <f t="shared" si="30"/>
        <v>0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3"/>
      <c r="N67" s="23"/>
      <c r="O67" s="16">
        <f t="shared" si="28"/>
        <v>0</v>
      </c>
      <c r="P67" s="23"/>
      <c r="Q67" s="23"/>
      <c r="R67" s="16">
        <f t="shared" si="29"/>
        <v>0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3"/>
      <c r="N68" s="23"/>
      <c r="O68" s="16">
        <f t="shared" si="28"/>
        <v>0</v>
      </c>
      <c r="P68" s="23"/>
      <c r="Q68" s="23"/>
      <c r="R68" s="16">
        <f t="shared" si="29"/>
        <v>0</v>
      </c>
      <c r="S68" s="23"/>
      <c r="T68" s="23"/>
      <c r="U68" s="16">
        <f t="shared" si="30"/>
        <v>0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3"/>
      <c r="N69" s="23"/>
      <c r="O69" s="16">
        <f t="shared" si="28"/>
        <v>0</v>
      </c>
      <c r="P69" s="23"/>
      <c r="Q69" s="23"/>
      <c r="R69" s="16">
        <f t="shared" si="29"/>
        <v>0</v>
      </c>
      <c r="S69" s="23"/>
      <c r="T69" s="23"/>
      <c r="U69" s="16">
        <f t="shared" si="30"/>
        <v>0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3"/>
      <c r="N70" s="23"/>
      <c r="O70" s="16">
        <f t="shared" si="28"/>
        <v>0</v>
      </c>
      <c r="P70" s="23"/>
      <c r="Q70" s="23"/>
      <c r="R70" s="16">
        <f t="shared" si="29"/>
        <v>0</v>
      </c>
      <c r="S70" s="23"/>
      <c r="T70" s="23"/>
      <c r="U70" s="16">
        <f t="shared" si="30"/>
        <v>0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3"/>
      <c r="N71" s="23"/>
      <c r="O71" s="16">
        <f t="shared" si="28"/>
        <v>0</v>
      </c>
      <c r="P71" s="23"/>
      <c r="Q71" s="23"/>
      <c r="R71" s="16">
        <f t="shared" si="29"/>
        <v>0</v>
      </c>
      <c r="S71" s="23"/>
      <c r="T71" s="23"/>
      <c r="U71" s="16">
        <f t="shared" si="30"/>
        <v>0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3"/>
      <c r="N72" s="23"/>
      <c r="O72" s="16">
        <f t="shared" si="28"/>
        <v>0</v>
      </c>
      <c r="P72" s="23"/>
      <c r="Q72" s="23"/>
      <c r="R72" s="16">
        <f t="shared" si="29"/>
        <v>0</v>
      </c>
      <c r="S72" s="23"/>
      <c r="T72" s="23"/>
      <c r="U72" s="16">
        <f t="shared" si="30"/>
        <v>0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3"/>
      <c r="N73" s="23"/>
      <c r="O73" s="16">
        <f t="shared" si="28"/>
        <v>0</v>
      </c>
      <c r="P73" s="23"/>
      <c r="Q73" s="23"/>
      <c r="R73" s="16">
        <f t="shared" si="29"/>
        <v>0</v>
      </c>
      <c r="S73" s="23"/>
      <c r="T73" s="23"/>
      <c r="U73" s="16">
        <f t="shared" si="30"/>
        <v>0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3"/>
      <c r="N74" s="23"/>
      <c r="O74" s="16">
        <f t="shared" si="28"/>
        <v>0</v>
      </c>
      <c r="P74" s="23"/>
      <c r="Q74" s="23"/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3"/>
      <c r="N75" s="23"/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3"/>
      <c r="N76" s="23"/>
      <c r="O76" s="16">
        <f t="shared" si="28"/>
        <v>0</v>
      </c>
      <c r="P76" s="23"/>
      <c r="Q76" s="23"/>
      <c r="R76" s="16">
        <f t="shared" si="29"/>
        <v>0</v>
      </c>
      <c r="S76" s="23"/>
      <c r="T76" s="23"/>
      <c r="U76" s="16">
        <f t="shared" si="30"/>
        <v>0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3"/>
      <c r="N77" s="23"/>
      <c r="O77" s="16">
        <f t="shared" si="28"/>
        <v>0</v>
      </c>
      <c r="P77" s="23"/>
      <c r="Q77" s="23"/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3"/>
      <c r="N78" s="23"/>
      <c r="O78" s="16">
        <f t="shared" si="28"/>
        <v>0</v>
      </c>
      <c r="P78" s="23"/>
      <c r="Q78" s="23"/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3"/>
      <c r="N79" s="23"/>
      <c r="O79" s="16">
        <f t="shared" si="28"/>
        <v>0</v>
      </c>
      <c r="P79" s="23"/>
      <c r="Q79" s="23"/>
      <c r="R79" s="16">
        <f t="shared" si="29"/>
        <v>0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89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 t="shared" ref="D8:U8" si="1">D9+D18</f>
        <v>0</v>
      </c>
      <c r="E8" s="16">
        <f t="shared" si="1"/>
        <v>0</v>
      </c>
      <c r="F8" s="16">
        <f t="shared" si="1"/>
        <v>0</v>
      </c>
      <c r="G8" s="16">
        <f t="shared" si="1"/>
        <v>0</v>
      </c>
      <c r="H8" s="16">
        <f t="shared" si="1"/>
        <v>0</v>
      </c>
      <c r="I8" s="16">
        <f t="shared" si="1"/>
        <v>0</v>
      </c>
      <c r="J8" s="16">
        <f t="shared" si="1"/>
        <v>0</v>
      </c>
      <c r="K8" s="16">
        <f t="shared" si="1"/>
        <v>0</v>
      </c>
      <c r="L8" s="16">
        <f t="shared" si="1"/>
        <v>0</v>
      </c>
      <c r="M8" s="16">
        <f t="shared" si="1"/>
        <v>0</v>
      </c>
      <c r="N8" s="16">
        <f t="shared" si="1"/>
        <v>0</v>
      </c>
      <c r="O8" s="16">
        <f t="shared" si="1"/>
        <v>0</v>
      </c>
      <c r="P8" s="16">
        <f t="shared" si="1"/>
        <v>0</v>
      </c>
      <c r="Q8" s="16">
        <f t="shared" si="1"/>
        <v>0</v>
      </c>
      <c r="R8" s="16">
        <f t="shared" si="1"/>
        <v>0</v>
      </c>
      <c r="S8" s="16">
        <f t="shared" si="1"/>
        <v>0</v>
      </c>
      <c r="T8" s="16">
        <f t="shared" si="1"/>
        <v>0</v>
      </c>
      <c r="U8" s="16">
        <f t="shared" si="1"/>
        <v>0</v>
      </c>
    </row>
    <row r="9">
      <c r="A9" s="17">
        <v>2.0</v>
      </c>
      <c r="B9" s="18" t="s">
        <v>15</v>
      </c>
      <c r="C9" s="9"/>
      <c r="D9" s="16">
        <f t="shared" ref="D9:U9" si="2">SUM(D10:D17)</f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</row>
    <row r="10">
      <c r="A10" s="19"/>
      <c r="B10" s="20" t="s">
        <v>16</v>
      </c>
      <c r="C10" s="21" t="s">
        <v>17</v>
      </c>
      <c r="D10" s="23"/>
      <c r="E10" s="23"/>
      <c r="F10" s="16">
        <f t="shared" ref="F10:F17" si="3">SUM(D10:E10)</f>
        <v>0</v>
      </c>
      <c r="G10" s="23"/>
      <c r="H10" s="23"/>
      <c r="I10" s="16">
        <f t="shared" ref="I10:I17" si="4">SUM(G10:H10)</f>
        <v>0</v>
      </c>
      <c r="J10" s="23"/>
      <c r="K10" s="23"/>
      <c r="L10" s="16">
        <f t="shared" ref="L10:L17" si="5">SUM(J10:K10)</f>
        <v>0</v>
      </c>
      <c r="M10" s="23"/>
      <c r="N10" s="23"/>
      <c r="O10" s="16">
        <f t="shared" ref="O10:O17" si="6">SUM(M10:N10)</f>
        <v>0</v>
      </c>
      <c r="P10" s="23"/>
      <c r="Q10" s="23"/>
      <c r="R10" s="16">
        <f t="shared" ref="R10:R17" si="7">SUM(P10:Q10)</f>
        <v>0</v>
      </c>
      <c r="S10" s="23"/>
      <c r="T10" s="23"/>
      <c r="U10" s="16">
        <f t="shared" ref="U10:U17" si="8">SUM(S10:T10)</f>
        <v>0</v>
      </c>
    </row>
    <row r="11">
      <c r="A11" s="19"/>
      <c r="B11" s="20" t="s">
        <v>19</v>
      </c>
      <c r="C11" s="21" t="s">
        <v>20</v>
      </c>
      <c r="D11" s="23"/>
      <c r="E11" s="23"/>
      <c r="F11" s="16">
        <f t="shared" si="3"/>
        <v>0</v>
      </c>
      <c r="G11" s="23"/>
      <c r="H11" s="23"/>
      <c r="I11" s="16">
        <f t="shared" si="4"/>
        <v>0</v>
      </c>
      <c r="J11" s="23"/>
      <c r="K11" s="23"/>
      <c r="L11" s="16">
        <f t="shared" si="5"/>
        <v>0</v>
      </c>
      <c r="M11" s="23"/>
      <c r="N11" s="23"/>
      <c r="O11" s="16">
        <f t="shared" si="6"/>
        <v>0</v>
      </c>
      <c r="P11" s="23"/>
      <c r="Q11" s="23"/>
      <c r="R11" s="16">
        <f t="shared" si="7"/>
        <v>0</v>
      </c>
      <c r="S11" s="23"/>
      <c r="T11" s="23"/>
      <c r="U11" s="16">
        <f t="shared" si="8"/>
        <v>0</v>
      </c>
    </row>
    <row r="12">
      <c r="A12" s="19"/>
      <c r="B12" s="20" t="s">
        <v>22</v>
      </c>
      <c r="C12" s="21" t="s">
        <v>23</v>
      </c>
      <c r="D12" s="23"/>
      <c r="E12" s="23"/>
      <c r="F12" s="16">
        <f t="shared" si="3"/>
        <v>0</v>
      </c>
      <c r="G12" s="23"/>
      <c r="H12" s="23"/>
      <c r="I12" s="16">
        <f t="shared" si="4"/>
        <v>0</v>
      </c>
      <c r="J12" s="23"/>
      <c r="K12" s="23"/>
      <c r="L12" s="16">
        <f t="shared" si="5"/>
        <v>0</v>
      </c>
      <c r="M12" s="23"/>
      <c r="N12" s="23"/>
      <c r="O12" s="16">
        <f t="shared" si="6"/>
        <v>0</v>
      </c>
      <c r="P12" s="23"/>
      <c r="Q12" s="23"/>
      <c r="R12" s="16">
        <f t="shared" si="7"/>
        <v>0</v>
      </c>
      <c r="S12" s="23"/>
      <c r="T12" s="23"/>
      <c r="U12" s="16">
        <f t="shared" si="8"/>
        <v>0</v>
      </c>
    </row>
    <row r="13">
      <c r="A13" s="19"/>
      <c r="B13" s="20" t="s">
        <v>25</v>
      </c>
      <c r="C13" s="21" t="s">
        <v>26</v>
      </c>
      <c r="D13" s="23"/>
      <c r="E13" s="23"/>
      <c r="F13" s="16">
        <f t="shared" si="3"/>
        <v>0</v>
      </c>
      <c r="G13" s="23"/>
      <c r="H13" s="23"/>
      <c r="I13" s="16">
        <f t="shared" si="4"/>
        <v>0</v>
      </c>
      <c r="J13" s="23"/>
      <c r="K13" s="23"/>
      <c r="L13" s="16">
        <f t="shared" si="5"/>
        <v>0</v>
      </c>
      <c r="M13" s="23"/>
      <c r="N13" s="23"/>
      <c r="O13" s="16">
        <f t="shared" si="6"/>
        <v>0</v>
      </c>
      <c r="P13" s="23"/>
      <c r="Q13" s="23"/>
      <c r="R13" s="16">
        <f t="shared" si="7"/>
        <v>0</v>
      </c>
      <c r="S13" s="23"/>
      <c r="T13" s="23"/>
      <c r="U13" s="16">
        <f t="shared" si="8"/>
        <v>0</v>
      </c>
    </row>
    <row r="14">
      <c r="A14" s="19"/>
      <c r="B14" s="20" t="s">
        <v>27</v>
      </c>
      <c r="C14" s="21" t="s">
        <v>28</v>
      </c>
      <c r="D14" s="23"/>
      <c r="E14" s="23"/>
      <c r="F14" s="16">
        <f t="shared" si="3"/>
        <v>0</v>
      </c>
      <c r="G14" s="23"/>
      <c r="H14" s="23"/>
      <c r="I14" s="16">
        <f t="shared" si="4"/>
        <v>0</v>
      </c>
      <c r="J14" s="23"/>
      <c r="K14" s="23"/>
      <c r="L14" s="16">
        <f t="shared" si="5"/>
        <v>0</v>
      </c>
      <c r="M14" s="23"/>
      <c r="N14" s="23"/>
      <c r="O14" s="16">
        <f t="shared" si="6"/>
        <v>0</v>
      </c>
      <c r="P14" s="23"/>
      <c r="Q14" s="23"/>
      <c r="R14" s="16">
        <f t="shared" si="7"/>
        <v>0</v>
      </c>
      <c r="S14" s="23"/>
      <c r="T14" s="23"/>
      <c r="U14" s="16">
        <f t="shared" si="8"/>
        <v>0</v>
      </c>
    </row>
    <row r="15">
      <c r="A15" s="19"/>
      <c r="B15" s="20" t="s">
        <v>29</v>
      </c>
      <c r="C15" s="21" t="s">
        <v>30</v>
      </c>
      <c r="D15" s="23"/>
      <c r="E15" s="23"/>
      <c r="F15" s="16">
        <f t="shared" si="3"/>
        <v>0</v>
      </c>
      <c r="G15" s="23"/>
      <c r="H15" s="23"/>
      <c r="I15" s="16">
        <f t="shared" si="4"/>
        <v>0</v>
      </c>
      <c r="J15" s="23"/>
      <c r="K15" s="23"/>
      <c r="L15" s="16">
        <f t="shared" si="5"/>
        <v>0</v>
      </c>
      <c r="M15" s="23"/>
      <c r="N15" s="23"/>
      <c r="O15" s="16">
        <f t="shared" si="6"/>
        <v>0</v>
      </c>
      <c r="P15" s="23"/>
      <c r="Q15" s="23"/>
      <c r="R15" s="16">
        <f t="shared" si="7"/>
        <v>0</v>
      </c>
      <c r="S15" s="23"/>
      <c r="T15" s="23"/>
      <c r="U15" s="16">
        <f t="shared" si="8"/>
        <v>0</v>
      </c>
    </row>
    <row r="16">
      <c r="A16" s="19"/>
      <c r="B16" s="20" t="s">
        <v>31</v>
      </c>
      <c r="C16" s="21" t="s">
        <v>32</v>
      </c>
      <c r="D16" s="23"/>
      <c r="E16" s="23"/>
      <c r="F16" s="16">
        <f t="shared" si="3"/>
        <v>0</v>
      </c>
      <c r="G16" s="23"/>
      <c r="H16" s="23"/>
      <c r="I16" s="16">
        <f t="shared" si="4"/>
        <v>0</v>
      </c>
      <c r="J16" s="23"/>
      <c r="K16" s="23"/>
      <c r="L16" s="16">
        <f t="shared" si="5"/>
        <v>0</v>
      </c>
      <c r="M16" s="23"/>
      <c r="N16" s="23"/>
      <c r="O16" s="16">
        <f t="shared" si="6"/>
        <v>0</v>
      </c>
      <c r="P16" s="23"/>
      <c r="Q16" s="23"/>
      <c r="R16" s="16">
        <f t="shared" si="7"/>
        <v>0</v>
      </c>
      <c r="S16" s="23"/>
      <c r="T16" s="23"/>
      <c r="U16" s="16">
        <f t="shared" si="8"/>
        <v>0</v>
      </c>
    </row>
    <row r="17">
      <c r="A17" s="10"/>
      <c r="B17" s="20" t="s">
        <v>33</v>
      </c>
      <c r="C17" s="21" t="s">
        <v>34</v>
      </c>
      <c r="D17" s="23"/>
      <c r="E17" s="23"/>
      <c r="F17" s="16">
        <f t="shared" si="3"/>
        <v>0</v>
      </c>
      <c r="G17" s="23"/>
      <c r="H17" s="23"/>
      <c r="I17" s="16">
        <f t="shared" si="4"/>
        <v>0</v>
      </c>
      <c r="J17" s="23"/>
      <c r="K17" s="23"/>
      <c r="L17" s="16">
        <f t="shared" si="5"/>
        <v>0</v>
      </c>
      <c r="M17" s="23"/>
      <c r="N17" s="23"/>
      <c r="O17" s="16">
        <f t="shared" si="6"/>
        <v>0</v>
      </c>
      <c r="P17" s="23"/>
      <c r="Q17" s="23"/>
      <c r="R17" s="16">
        <f t="shared" si="7"/>
        <v>0</v>
      </c>
      <c r="S17" s="23"/>
      <c r="T17" s="23"/>
      <c r="U17" s="16">
        <f t="shared" si="8"/>
        <v>0</v>
      </c>
    </row>
    <row r="18">
      <c r="A18" s="17">
        <v>3.0</v>
      </c>
      <c r="B18" s="18" t="s">
        <v>35</v>
      </c>
      <c r="C18" s="9"/>
      <c r="D18" s="16">
        <f t="shared" ref="D18:U18" si="9">SUM(D19:D41)</f>
        <v>0</v>
      </c>
      <c r="E18" s="16">
        <f t="shared" si="9"/>
        <v>0</v>
      </c>
      <c r="F18" s="16">
        <f t="shared" si="9"/>
        <v>0</v>
      </c>
      <c r="G18" s="16">
        <f t="shared" si="9"/>
        <v>0</v>
      </c>
      <c r="H18" s="16">
        <f t="shared" si="9"/>
        <v>0</v>
      </c>
      <c r="I18" s="16">
        <f t="shared" si="9"/>
        <v>0</v>
      </c>
      <c r="J18" s="16">
        <f t="shared" si="9"/>
        <v>0</v>
      </c>
      <c r="K18" s="16">
        <f t="shared" si="9"/>
        <v>0</v>
      </c>
      <c r="L18" s="16">
        <f t="shared" si="9"/>
        <v>0</v>
      </c>
      <c r="M18" s="16">
        <f t="shared" si="9"/>
        <v>0</v>
      </c>
      <c r="N18" s="16">
        <f t="shared" si="9"/>
        <v>0</v>
      </c>
      <c r="O18" s="16">
        <f t="shared" si="9"/>
        <v>0</v>
      </c>
      <c r="P18" s="16">
        <f t="shared" si="9"/>
        <v>0</v>
      </c>
      <c r="Q18" s="16">
        <f t="shared" si="9"/>
        <v>0</v>
      </c>
      <c r="R18" s="16">
        <f t="shared" si="9"/>
        <v>0</v>
      </c>
      <c r="S18" s="16">
        <f t="shared" si="9"/>
        <v>0</v>
      </c>
      <c r="T18" s="16">
        <f t="shared" si="9"/>
        <v>0</v>
      </c>
      <c r="U18" s="16">
        <f t="shared" si="9"/>
        <v>0</v>
      </c>
    </row>
    <row r="19">
      <c r="A19" s="19"/>
      <c r="B19" s="20" t="s">
        <v>16</v>
      </c>
      <c r="C19" s="21" t="s">
        <v>36</v>
      </c>
      <c r="D19" s="23"/>
      <c r="E19" s="23"/>
      <c r="F19" s="16">
        <f t="shared" ref="F19:F41" si="10">SUM(D19:E19)</f>
        <v>0</v>
      </c>
      <c r="G19" s="23"/>
      <c r="H19" s="23"/>
      <c r="I19" s="16">
        <f t="shared" ref="I19:I41" si="11">SUM(G19:H19)</f>
        <v>0</v>
      </c>
      <c r="J19" s="23"/>
      <c r="K19" s="23"/>
      <c r="L19" s="16">
        <f t="shared" ref="L19:L41" si="12">SUM(J19:K19)</f>
        <v>0</v>
      </c>
      <c r="M19" s="23"/>
      <c r="N19" s="23"/>
      <c r="O19" s="16">
        <f t="shared" ref="O19:O41" si="13">SUM(M19:N19)</f>
        <v>0</v>
      </c>
      <c r="P19" s="23"/>
      <c r="Q19" s="23"/>
      <c r="R19" s="16">
        <f t="shared" ref="R19:R41" si="14">SUM(P19:Q19)</f>
        <v>0</v>
      </c>
      <c r="S19" s="23"/>
      <c r="T19" s="23"/>
      <c r="U19" s="16">
        <f t="shared" ref="U19:U41" si="15">SUM(S19:T19)</f>
        <v>0</v>
      </c>
    </row>
    <row r="20">
      <c r="A20" s="19"/>
      <c r="B20" s="20" t="s">
        <v>19</v>
      </c>
      <c r="C20" s="21" t="s">
        <v>37</v>
      </c>
      <c r="D20" s="23"/>
      <c r="E20" s="23"/>
      <c r="F20" s="16">
        <f t="shared" si="10"/>
        <v>0</v>
      </c>
      <c r="G20" s="23"/>
      <c r="H20" s="23"/>
      <c r="I20" s="16">
        <f t="shared" si="11"/>
        <v>0</v>
      </c>
      <c r="J20" s="23"/>
      <c r="K20" s="23"/>
      <c r="L20" s="16">
        <f t="shared" si="12"/>
        <v>0</v>
      </c>
      <c r="M20" s="23"/>
      <c r="N20" s="23"/>
      <c r="O20" s="16">
        <f t="shared" si="13"/>
        <v>0</v>
      </c>
      <c r="P20" s="23"/>
      <c r="Q20" s="23"/>
      <c r="R20" s="16">
        <f t="shared" si="14"/>
        <v>0</v>
      </c>
      <c r="S20" s="23"/>
      <c r="T20" s="23"/>
      <c r="U20" s="16">
        <f t="shared" si="15"/>
        <v>0</v>
      </c>
    </row>
    <row r="21">
      <c r="A21" s="19"/>
      <c r="B21" s="20" t="s">
        <v>22</v>
      </c>
      <c r="C21" s="21" t="s">
        <v>38</v>
      </c>
      <c r="D21" s="23"/>
      <c r="E21" s="23"/>
      <c r="F21" s="16">
        <f t="shared" si="10"/>
        <v>0</v>
      </c>
      <c r="G21" s="23"/>
      <c r="H21" s="23"/>
      <c r="I21" s="16">
        <f t="shared" si="11"/>
        <v>0</v>
      </c>
      <c r="J21" s="23"/>
      <c r="K21" s="23"/>
      <c r="L21" s="16">
        <f t="shared" si="12"/>
        <v>0</v>
      </c>
      <c r="M21" s="23"/>
      <c r="N21" s="23"/>
      <c r="O21" s="16">
        <f t="shared" si="13"/>
        <v>0</v>
      </c>
      <c r="P21" s="23"/>
      <c r="Q21" s="23"/>
      <c r="R21" s="16">
        <f t="shared" si="14"/>
        <v>0</v>
      </c>
      <c r="S21" s="23"/>
      <c r="T21" s="23"/>
      <c r="U21" s="16">
        <f t="shared" si="15"/>
        <v>0</v>
      </c>
    </row>
    <row r="22">
      <c r="A22" s="19"/>
      <c r="B22" s="20" t="s">
        <v>25</v>
      </c>
      <c r="C22" s="21" t="s">
        <v>39</v>
      </c>
      <c r="D22" s="23"/>
      <c r="E22" s="23"/>
      <c r="F22" s="16">
        <f t="shared" si="10"/>
        <v>0</v>
      </c>
      <c r="G22" s="23"/>
      <c r="H22" s="23"/>
      <c r="I22" s="16">
        <f t="shared" si="11"/>
        <v>0</v>
      </c>
      <c r="J22" s="23"/>
      <c r="K22" s="23"/>
      <c r="L22" s="16">
        <f t="shared" si="12"/>
        <v>0</v>
      </c>
      <c r="M22" s="23"/>
      <c r="N22" s="23"/>
      <c r="O22" s="16">
        <f t="shared" si="13"/>
        <v>0</v>
      </c>
      <c r="P22" s="23"/>
      <c r="Q22" s="23"/>
      <c r="R22" s="16">
        <f t="shared" si="14"/>
        <v>0</v>
      </c>
      <c r="S22" s="23"/>
      <c r="T22" s="23"/>
      <c r="U22" s="16">
        <f t="shared" si="15"/>
        <v>0</v>
      </c>
    </row>
    <row r="23">
      <c r="A23" s="19"/>
      <c r="B23" s="20" t="s">
        <v>27</v>
      </c>
      <c r="C23" s="21" t="s">
        <v>80</v>
      </c>
      <c r="D23" s="23"/>
      <c r="E23" s="23"/>
      <c r="F23" s="16">
        <f t="shared" si="10"/>
        <v>0</v>
      </c>
      <c r="G23" s="23"/>
      <c r="H23" s="23"/>
      <c r="I23" s="16">
        <f t="shared" si="11"/>
        <v>0</v>
      </c>
      <c r="J23" s="23"/>
      <c r="K23" s="23"/>
      <c r="L23" s="16">
        <f t="shared" si="12"/>
        <v>0</v>
      </c>
      <c r="M23" s="23"/>
      <c r="N23" s="23"/>
      <c r="O23" s="16">
        <f t="shared" si="13"/>
        <v>0</v>
      </c>
      <c r="P23" s="23"/>
      <c r="Q23" s="23"/>
      <c r="R23" s="16">
        <f t="shared" si="14"/>
        <v>0</v>
      </c>
      <c r="S23" s="23"/>
      <c r="T23" s="23"/>
      <c r="U23" s="16">
        <f t="shared" si="15"/>
        <v>0</v>
      </c>
    </row>
    <row r="24">
      <c r="A24" s="19"/>
      <c r="B24" s="20" t="s">
        <v>29</v>
      </c>
      <c r="C24" s="21" t="s">
        <v>41</v>
      </c>
      <c r="D24" s="23"/>
      <c r="E24" s="23"/>
      <c r="F24" s="16">
        <f t="shared" si="10"/>
        <v>0</v>
      </c>
      <c r="G24" s="23"/>
      <c r="H24" s="23"/>
      <c r="I24" s="16">
        <f t="shared" si="11"/>
        <v>0</v>
      </c>
      <c r="J24" s="23"/>
      <c r="K24" s="23"/>
      <c r="L24" s="16">
        <f t="shared" si="12"/>
        <v>0</v>
      </c>
      <c r="M24" s="23"/>
      <c r="N24" s="23"/>
      <c r="O24" s="16">
        <f t="shared" si="13"/>
        <v>0</v>
      </c>
      <c r="P24" s="23"/>
      <c r="Q24" s="23"/>
      <c r="R24" s="16">
        <f t="shared" si="14"/>
        <v>0</v>
      </c>
      <c r="S24" s="23"/>
      <c r="T24" s="23"/>
      <c r="U24" s="16">
        <f t="shared" si="15"/>
        <v>0</v>
      </c>
    </row>
    <row r="25">
      <c r="A25" s="19"/>
      <c r="B25" s="20" t="s">
        <v>31</v>
      </c>
      <c r="C25" s="21" t="s">
        <v>42</v>
      </c>
      <c r="D25" s="23"/>
      <c r="E25" s="23"/>
      <c r="F25" s="16">
        <f t="shared" si="10"/>
        <v>0</v>
      </c>
      <c r="G25" s="23"/>
      <c r="H25" s="23"/>
      <c r="I25" s="16">
        <f t="shared" si="11"/>
        <v>0</v>
      </c>
      <c r="J25" s="23"/>
      <c r="K25" s="23"/>
      <c r="L25" s="16">
        <f t="shared" si="12"/>
        <v>0</v>
      </c>
      <c r="M25" s="23"/>
      <c r="N25" s="23"/>
      <c r="O25" s="16">
        <f t="shared" si="13"/>
        <v>0</v>
      </c>
      <c r="P25" s="23"/>
      <c r="Q25" s="23"/>
      <c r="R25" s="16">
        <f t="shared" si="14"/>
        <v>0</v>
      </c>
      <c r="S25" s="23"/>
      <c r="T25" s="23"/>
      <c r="U25" s="16">
        <f t="shared" si="15"/>
        <v>0</v>
      </c>
    </row>
    <row r="26">
      <c r="A26" s="19"/>
      <c r="B26" s="20" t="s">
        <v>33</v>
      </c>
      <c r="C26" s="21" t="s">
        <v>43</v>
      </c>
      <c r="D26" s="23"/>
      <c r="E26" s="23"/>
      <c r="F26" s="16">
        <f t="shared" si="10"/>
        <v>0</v>
      </c>
      <c r="G26" s="23"/>
      <c r="H26" s="23"/>
      <c r="I26" s="16">
        <f t="shared" si="11"/>
        <v>0</v>
      </c>
      <c r="J26" s="23"/>
      <c r="K26" s="23"/>
      <c r="L26" s="16">
        <f t="shared" si="12"/>
        <v>0</v>
      </c>
      <c r="M26" s="23"/>
      <c r="N26" s="23"/>
      <c r="O26" s="16">
        <f t="shared" si="13"/>
        <v>0</v>
      </c>
      <c r="P26" s="23"/>
      <c r="Q26" s="23"/>
      <c r="R26" s="16">
        <f t="shared" si="14"/>
        <v>0</v>
      </c>
      <c r="S26" s="23"/>
      <c r="T26" s="23"/>
      <c r="U26" s="16">
        <f t="shared" si="15"/>
        <v>0</v>
      </c>
    </row>
    <row r="27">
      <c r="A27" s="19"/>
      <c r="B27" s="20" t="s">
        <v>44</v>
      </c>
      <c r="C27" s="21" t="s">
        <v>45</v>
      </c>
      <c r="D27" s="23"/>
      <c r="E27" s="23"/>
      <c r="F27" s="16">
        <f t="shared" si="10"/>
        <v>0</v>
      </c>
      <c r="G27" s="23"/>
      <c r="H27" s="23"/>
      <c r="I27" s="16">
        <f t="shared" si="11"/>
        <v>0</v>
      </c>
      <c r="J27" s="23"/>
      <c r="K27" s="23"/>
      <c r="L27" s="16">
        <f t="shared" si="12"/>
        <v>0</v>
      </c>
      <c r="M27" s="23"/>
      <c r="N27" s="23"/>
      <c r="O27" s="16">
        <f t="shared" si="13"/>
        <v>0</v>
      </c>
      <c r="P27" s="23"/>
      <c r="Q27" s="23"/>
      <c r="R27" s="16">
        <f t="shared" si="14"/>
        <v>0</v>
      </c>
      <c r="S27" s="23"/>
      <c r="T27" s="23"/>
      <c r="U27" s="16">
        <f t="shared" si="15"/>
        <v>0</v>
      </c>
    </row>
    <row r="28">
      <c r="A28" s="19"/>
      <c r="B28" s="20" t="s">
        <v>46</v>
      </c>
      <c r="C28" s="21" t="s">
        <v>47</v>
      </c>
      <c r="D28" s="23"/>
      <c r="E28" s="23"/>
      <c r="F28" s="16">
        <f t="shared" si="10"/>
        <v>0</v>
      </c>
      <c r="G28" s="23"/>
      <c r="H28" s="23"/>
      <c r="I28" s="16">
        <f t="shared" si="11"/>
        <v>0</v>
      </c>
      <c r="J28" s="23"/>
      <c r="K28" s="23"/>
      <c r="L28" s="16">
        <f t="shared" si="12"/>
        <v>0</v>
      </c>
      <c r="M28" s="23"/>
      <c r="N28" s="23"/>
      <c r="O28" s="16">
        <f t="shared" si="13"/>
        <v>0</v>
      </c>
      <c r="P28" s="23"/>
      <c r="Q28" s="23"/>
      <c r="R28" s="16">
        <f t="shared" si="14"/>
        <v>0</v>
      </c>
      <c r="S28" s="23"/>
      <c r="T28" s="23"/>
      <c r="U28" s="16">
        <f t="shared" si="15"/>
        <v>0</v>
      </c>
    </row>
    <row r="29">
      <c r="A29" s="19"/>
      <c r="B29" s="20" t="s">
        <v>48</v>
      </c>
      <c r="C29" s="21" t="s">
        <v>49</v>
      </c>
      <c r="D29" s="23"/>
      <c r="E29" s="23"/>
      <c r="F29" s="16">
        <f t="shared" si="10"/>
        <v>0</v>
      </c>
      <c r="G29" s="23"/>
      <c r="H29" s="23"/>
      <c r="I29" s="16">
        <f t="shared" si="11"/>
        <v>0</v>
      </c>
      <c r="J29" s="23"/>
      <c r="K29" s="23"/>
      <c r="L29" s="16">
        <f t="shared" si="12"/>
        <v>0</v>
      </c>
      <c r="M29" s="23"/>
      <c r="N29" s="23"/>
      <c r="O29" s="16">
        <f t="shared" si="13"/>
        <v>0</v>
      </c>
      <c r="P29" s="23"/>
      <c r="Q29" s="23"/>
      <c r="R29" s="16">
        <f t="shared" si="14"/>
        <v>0</v>
      </c>
      <c r="S29" s="23"/>
      <c r="T29" s="23"/>
      <c r="U29" s="16">
        <f t="shared" si="15"/>
        <v>0</v>
      </c>
    </row>
    <row r="30">
      <c r="A30" s="19"/>
      <c r="B30" s="20" t="s">
        <v>50</v>
      </c>
      <c r="C30" s="21" t="s">
        <v>51</v>
      </c>
      <c r="D30" s="23"/>
      <c r="E30" s="23"/>
      <c r="F30" s="16">
        <f t="shared" si="10"/>
        <v>0</v>
      </c>
      <c r="G30" s="23"/>
      <c r="H30" s="23"/>
      <c r="I30" s="16">
        <f t="shared" si="11"/>
        <v>0</v>
      </c>
      <c r="J30" s="23"/>
      <c r="K30" s="23"/>
      <c r="L30" s="16">
        <f t="shared" si="12"/>
        <v>0</v>
      </c>
      <c r="M30" s="23"/>
      <c r="N30" s="23"/>
      <c r="O30" s="16">
        <f t="shared" si="13"/>
        <v>0</v>
      </c>
      <c r="P30" s="23"/>
      <c r="Q30" s="23"/>
      <c r="R30" s="16">
        <f t="shared" si="14"/>
        <v>0</v>
      </c>
      <c r="S30" s="23"/>
      <c r="T30" s="23"/>
      <c r="U30" s="16">
        <f t="shared" si="15"/>
        <v>0</v>
      </c>
    </row>
    <row r="31">
      <c r="A31" s="19"/>
      <c r="B31" s="20" t="s">
        <v>52</v>
      </c>
      <c r="C31" s="21" t="s">
        <v>53</v>
      </c>
      <c r="D31" s="23"/>
      <c r="E31" s="23"/>
      <c r="F31" s="16">
        <f t="shared" si="10"/>
        <v>0</v>
      </c>
      <c r="G31" s="23"/>
      <c r="H31" s="23"/>
      <c r="I31" s="16">
        <f t="shared" si="11"/>
        <v>0</v>
      </c>
      <c r="J31" s="23"/>
      <c r="K31" s="23"/>
      <c r="L31" s="16">
        <f t="shared" si="12"/>
        <v>0</v>
      </c>
      <c r="M31" s="23"/>
      <c r="N31" s="23"/>
      <c r="O31" s="16">
        <f t="shared" si="13"/>
        <v>0</v>
      </c>
      <c r="P31" s="23"/>
      <c r="Q31" s="23"/>
      <c r="R31" s="16">
        <f t="shared" si="14"/>
        <v>0</v>
      </c>
      <c r="S31" s="23"/>
      <c r="T31" s="23"/>
      <c r="U31" s="16">
        <f t="shared" si="15"/>
        <v>0</v>
      </c>
    </row>
    <row r="32">
      <c r="A32" s="19"/>
      <c r="B32" s="20" t="s">
        <v>54</v>
      </c>
      <c r="C32" s="21" t="s">
        <v>55</v>
      </c>
      <c r="D32" s="23"/>
      <c r="E32" s="23"/>
      <c r="F32" s="16">
        <f t="shared" si="10"/>
        <v>0</v>
      </c>
      <c r="G32" s="23"/>
      <c r="H32" s="23"/>
      <c r="I32" s="16">
        <f t="shared" si="11"/>
        <v>0</v>
      </c>
      <c r="J32" s="23"/>
      <c r="K32" s="23"/>
      <c r="L32" s="16">
        <f t="shared" si="12"/>
        <v>0</v>
      </c>
      <c r="M32" s="23"/>
      <c r="N32" s="23"/>
      <c r="O32" s="16">
        <f t="shared" si="13"/>
        <v>0</v>
      </c>
      <c r="P32" s="23"/>
      <c r="Q32" s="23"/>
      <c r="R32" s="16">
        <f t="shared" si="14"/>
        <v>0</v>
      </c>
      <c r="S32" s="23"/>
      <c r="T32" s="23"/>
      <c r="U32" s="16">
        <f t="shared" si="15"/>
        <v>0</v>
      </c>
    </row>
    <row r="33">
      <c r="A33" s="19"/>
      <c r="B33" s="20" t="s">
        <v>56</v>
      </c>
      <c r="C33" s="21" t="s">
        <v>57</v>
      </c>
      <c r="D33" s="23"/>
      <c r="E33" s="23"/>
      <c r="F33" s="16">
        <f t="shared" si="10"/>
        <v>0</v>
      </c>
      <c r="G33" s="23"/>
      <c r="H33" s="23"/>
      <c r="I33" s="16">
        <f t="shared" si="11"/>
        <v>0</v>
      </c>
      <c r="J33" s="23"/>
      <c r="K33" s="23"/>
      <c r="L33" s="16">
        <f t="shared" si="12"/>
        <v>0</v>
      </c>
      <c r="M33" s="23"/>
      <c r="N33" s="23"/>
      <c r="O33" s="16">
        <f t="shared" si="13"/>
        <v>0</v>
      </c>
      <c r="P33" s="23"/>
      <c r="Q33" s="23"/>
      <c r="R33" s="16">
        <f t="shared" si="14"/>
        <v>0</v>
      </c>
      <c r="S33" s="23"/>
      <c r="T33" s="23"/>
      <c r="U33" s="16">
        <f t="shared" si="15"/>
        <v>0</v>
      </c>
    </row>
    <row r="34">
      <c r="A34" s="19"/>
      <c r="B34" s="20" t="s">
        <v>58</v>
      </c>
      <c r="C34" s="21" t="s">
        <v>59</v>
      </c>
      <c r="D34" s="23"/>
      <c r="E34" s="23"/>
      <c r="F34" s="16">
        <f t="shared" si="10"/>
        <v>0</v>
      </c>
      <c r="G34" s="23"/>
      <c r="H34" s="23"/>
      <c r="I34" s="16">
        <f t="shared" si="11"/>
        <v>0</v>
      </c>
      <c r="J34" s="23"/>
      <c r="K34" s="23"/>
      <c r="L34" s="16">
        <f t="shared" si="12"/>
        <v>0</v>
      </c>
      <c r="M34" s="23"/>
      <c r="N34" s="23"/>
      <c r="O34" s="16">
        <f t="shared" si="13"/>
        <v>0</v>
      </c>
      <c r="P34" s="23"/>
      <c r="Q34" s="23"/>
      <c r="R34" s="16">
        <f t="shared" si="14"/>
        <v>0</v>
      </c>
      <c r="S34" s="23"/>
      <c r="T34" s="23"/>
      <c r="U34" s="16">
        <f t="shared" si="15"/>
        <v>0</v>
      </c>
    </row>
    <row r="35">
      <c r="A35" s="19"/>
      <c r="B35" s="20" t="s">
        <v>60</v>
      </c>
      <c r="C35" s="21" t="s">
        <v>61</v>
      </c>
      <c r="D35" s="23"/>
      <c r="E35" s="23"/>
      <c r="F35" s="16">
        <f t="shared" si="10"/>
        <v>0</v>
      </c>
      <c r="G35" s="23"/>
      <c r="H35" s="23"/>
      <c r="I35" s="16">
        <f t="shared" si="11"/>
        <v>0</v>
      </c>
      <c r="J35" s="23"/>
      <c r="K35" s="23"/>
      <c r="L35" s="16">
        <f t="shared" si="12"/>
        <v>0</v>
      </c>
      <c r="M35" s="23"/>
      <c r="N35" s="23"/>
      <c r="O35" s="16">
        <f t="shared" si="13"/>
        <v>0</v>
      </c>
      <c r="P35" s="23"/>
      <c r="Q35" s="23"/>
      <c r="R35" s="16">
        <f t="shared" si="14"/>
        <v>0</v>
      </c>
      <c r="S35" s="23"/>
      <c r="T35" s="23"/>
      <c r="U35" s="16">
        <f t="shared" si="15"/>
        <v>0</v>
      </c>
    </row>
    <row r="36">
      <c r="A36" s="19"/>
      <c r="B36" s="20" t="s">
        <v>62</v>
      </c>
      <c r="C36" s="21" t="s">
        <v>63</v>
      </c>
      <c r="D36" s="23"/>
      <c r="E36" s="23"/>
      <c r="F36" s="16">
        <f t="shared" si="10"/>
        <v>0</v>
      </c>
      <c r="G36" s="23"/>
      <c r="H36" s="23"/>
      <c r="I36" s="16">
        <f t="shared" si="11"/>
        <v>0</v>
      </c>
      <c r="J36" s="23"/>
      <c r="K36" s="23"/>
      <c r="L36" s="16">
        <f t="shared" si="12"/>
        <v>0</v>
      </c>
      <c r="M36" s="23"/>
      <c r="N36" s="23"/>
      <c r="O36" s="16">
        <f t="shared" si="13"/>
        <v>0</v>
      </c>
      <c r="P36" s="23"/>
      <c r="Q36" s="23"/>
      <c r="R36" s="16">
        <f t="shared" si="14"/>
        <v>0</v>
      </c>
      <c r="S36" s="23"/>
      <c r="T36" s="23"/>
      <c r="U36" s="16">
        <f t="shared" si="15"/>
        <v>0</v>
      </c>
    </row>
    <row r="37">
      <c r="A37" s="19"/>
      <c r="B37" s="20" t="s">
        <v>64</v>
      </c>
      <c r="C37" s="21" t="s">
        <v>65</v>
      </c>
      <c r="D37" s="23"/>
      <c r="E37" s="23"/>
      <c r="F37" s="16">
        <f t="shared" si="10"/>
        <v>0</v>
      </c>
      <c r="G37" s="23"/>
      <c r="H37" s="23"/>
      <c r="I37" s="16">
        <f t="shared" si="11"/>
        <v>0</v>
      </c>
      <c r="J37" s="23"/>
      <c r="K37" s="23"/>
      <c r="L37" s="16">
        <f t="shared" si="12"/>
        <v>0</v>
      </c>
      <c r="M37" s="23"/>
      <c r="N37" s="23"/>
      <c r="O37" s="16">
        <f t="shared" si="13"/>
        <v>0</v>
      </c>
      <c r="P37" s="23"/>
      <c r="Q37" s="23"/>
      <c r="R37" s="16">
        <f t="shared" si="14"/>
        <v>0</v>
      </c>
      <c r="S37" s="23"/>
      <c r="T37" s="23"/>
      <c r="U37" s="16">
        <f t="shared" si="15"/>
        <v>0</v>
      </c>
    </row>
    <row r="38">
      <c r="A38" s="19"/>
      <c r="B38" s="20" t="s">
        <v>66</v>
      </c>
      <c r="C38" s="21" t="s">
        <v>67</v>
      </c>
      <c r="D38" s="23"/>
      <c r="E38" s="23"/>
      <c r="F38" s="16">
        <f t="shared" si="10"/>
        <v>0</v>
      </c>
      <c r="G38" s="23"/>
      <c r="H38" s="23"/>
      <c r="I38" s="16">
        <f t="shared" si="11"/>
        <v>0</v>
      </c>
      <c r="J38" s="23"/>
      <c r="K38" s="23"/>
      <c r="L38" s="16">
        <f t="shared" si="12"/>
        <v>0</v>
      </c>
      <c r="M38" s="23"/>
      <c r="N38" s="23"/>
      <c r="O38" s="16">
        <f t="shared" si="13"/>
        <v>0</v>
      </c>
      <c r="P38" s="23"/>
      <c r="Q38" s="23"/>
      <c r="R38" s="16">
        <f t="shared" si="14"/>
        <v>0</v>
      </c>
      <c r="S38" s="23"/>
      <c r="T38" s="23"/>
      <c r="U38" s="16">
        <f t="shared" si="15"/>
        <v>0</v>
      </c>
    </row>
    <row r="39">
      <c r="A39" s="19"/>
      <c r="B39" s="20" t="s">
        <v>68</v>
      </c>
      <c r="C39" s="21" t="s">
        <v>69</v>
      </c>
      <c r="D39" s="23"/>
      <c r="E39" s="23"/>
      <c r="F39" s="16">
        <f t="shared" si="10"/>
        <v>0</v>
      </c>
      <c r="G39" s="23"/>
      <c r="H39" s="23"/>
      <c r="I39" s="16">
        <f t="shared" si="11"/>
        <v>0</v>
      </c>
      <c r="J39" s="23"/>
      <c r="K39" s="23"/>
      <c r="L39" s="16">
        <f t="shared" si="12"/>
        <v>0</v>
      </c>
      <c r="M39" s="23"/>
      <c r="N39" s="23"/>
      <c r="O39" s="16">
        <f t="shared" si="13"/>
        <v>0</v>
      </c>
      <c r="P39" s="23"/>
      <c r="Q39" s="23"/>
      <c r="R39" s="16">
        <f t="shared" si="14"/>
        <v>0</v>
      </c>
      <c r="S39" s="23"/>
      <c r="T39" s="23"/>
      <c r="U39" s="16">
        <f t="shared" si="15"/>
        <v>0</v>
      </c>
    </row>
    <row r="40">
      <c r="A40" s="19"/>
      <c r="B40" s="20" t="s">
        <v>70</v>
      </c>
      <c r="C40" s="21" t="s">
        <v>71</v>
      </c>
      <c r="D40" s="23"/>
      <c r="E40" s="23"/>
      <c r="F40" s="16">
        <f t="shared" si="10"/>
        <v>0</v>
      </c>
      <c r="G40" s="23"/>
      <c r="H40" s="23"/>
      <c r="I40" s="16">
        <f t="shared" si="11"/>
        <v>0</v>
      </c>
      <c r="J40" s="23"/>
      <c r="K40" s="23"/>
      <c r="L40" s="16">
        <f t="shared" si="12"/>
        <v>0</v>
      </c>
      <c r="M40" s="23"/>
      <c r="N40" s="23"/>
      <c r="O40" s="16">
        <f t="shared" si="13"/>
        <v>0</v>
      </c>
      <c r="P40" s="23"/>
      <c r="Q40" s="23"/>
      <c r="R40" s="16">
        <f t="shared" si="14"/>
        <v>0</v>
      </c>
      <c r="S40" s="23"/>
      <c r="T40" s="23"/>
      <c r="U40" s="16">
        <f t="shared" si="15"/>
        <v>0</v>
      </c>
    </row>
    <row r="41">
      <c r="A41" s="10"/>
      <c r="B41" s="20" t="s">
        <v>72</v>
      </c>
      <c r="C41" s="21" t="s">
        <v>73</v>
      </c>
      <c r="D41" s="23"/>
      <c r="E41" s="23"/>
      <c r="F41" s="16">
        <f t="shared" si="10"/>
        <v>0</v>
      </c>
      <c r="G41" s="23"/>
      <c r="H41" s="23"/>
      <c r="I41" s="16">
        <f t="shared" si="11"/>
        <v>0</v>
      </c>
      <c r="J41" s="23"/>
      <c r="K41" s="23"/>
      <c r="L41" s="16">
        <f t="shared" si="12"/>
        <v>0</v>
      </c>
      <c r="M41" s="23"/>
      <c r="N41" s="23"/>
      <c r="O41" s="16">
        <f t="shared" si="13"/>
        <v>0</v>
      </c>
      <c r="P41" s="23"/>
      <c r="Q41" s="23"/>
      <c r="R41" s="16">
        <f t="shared" si="14"/>
        <v>0</v>
      </c>
      <c r="S41" s="23"/>
      <c r="T41" s="23"/>
      <c r="U41" s="16">
        <f t="shared" si="15"/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 t="shared" ref="D46:U46" si="16">D47+D56</f>
        <v>0</v>
      </c>
      <c r="E46" s="16">
        <f t="shared" si="16"/>
        <v>0</v>
      </c>
      <c r="F46" s="16">
        <f t="shared" si="16"/>
        <v>0</v>
      </c>
      <c r="G46" s="16">
        <f t="shared" si="16"/>
        <v>0</v>
      </c>
      <c r="H46" s="16">
        <f t="shared" si="16"/>
        <v>0</v>
      </c>
      <c r="I46" s="16">
        <f t="shared" si="16"/>
        <v>0</v>
      </c>
      <c r="J46" s="16">
        <f t="shared" si="16"/>
        <v>0</v>
      </c>
      <c r="K46" s="16">
        <f t="shared" si="16"/>
        <v>0</v>
      </c>
      <c r="L46" s="16">
        <f t="shared" si="16"/>
        <v>0</v>
      </c>
      <c r="M46" s="16">
        <f t="shared" si="16"/>
        <v>0</v>
      </c>
      <c r="N46" s="16">
        <f t="shared" si="16"/>
        <v>0</v>
      </c>
      <c r="O46" s="16">
        <f t="shared" si="16"/>
        <v>0</v>
      </c>
      <c r="P46" s="16">
        <f t="shared" si="16"/>
        <v>0</v>
      </c>
      <c r="Q46" s="16">
        <f t="shared" si="16"/>
        <v>0</v>
      </c>
      <c r="R46" s="16">
        <f t="shared" si="16"/>
        <v>0</v>
      </c>
      <c r="S46" s="16">
        <f t="shared" si="16"/>
        <v>0</v>
      </c>
      <c r="T46" s="16">
        <f t="shared" si="16"/>
        <v>0</v>
      </c>
      <c r="U46" s="16">
        <f t="shared" si="16"/>
        <v>0</v>
      </c>
    </row>
    <row r="47">
      <c r="A47" s="17">
        <v>2.0</v>
      </c>
      <c r="B47" s="18" t="s">
        <v>15</v>
      </c>
      <c r="C47" s="9"/>
      <c r="D47" s="16">
        <f t="shared" ref="D47:U47" si="17">SUM(D48:D55)</f>
        <v>0</v>
      </c>
      <c r="E47" s="16">
        <f t="shared" si="17"/>
        <v>0</v>
      </c>
      <c r="F47" s="16">
        <f t="shared" si="17"/>
        <v>0</v>
      </c>
      <c r="G47" s="16">
        <f t="shared" si="17"/>
        <v>0</v>
      </c>
      <c r="H47" s="16">
        <f t="shared" si="17"/>
        <v>0</v>
      </c>
      <c r="I47" s="16">
        <f t="shared" si="17"/>
        <v>0</v>
      </c>
      <c r="J47" s="16">
        <f t="shared" si="17"/>
        <v>0</v>
      </c>
      <c r="K47" s="16">
        <f t="shared" si="17"/>
        <v>0</v>
      </c>
      <c r="L47" s="16">
        <f t="shared" si="17"/>
        <v>0</v>
      </c>
      <c r="M47" s="16">
        <f t="shared" si="17"/>
        <v>0</v>
      </c>
      <c r="N47" s="16">
        <f t="shared" si="17"/>
        <v>0</v>
      </c>
      <c r="O47" s="16">
        <f t="shared" si="17"/>
        <v>0</v>
      </c>
      <c r="P47" s="16">
        <f t="shared" si="17"/>
        <v>0</v>
      </c>
      <c r="Q47" s="16">
        <f t="shared" si="17"/>
        <v>0</v>
      </c>
      <c r="R47" s="16">
        <f t="shared" si="17"/>
        <v>0</v>
      </c>
      <c r="S47" s="16">
        <f t="shared" si="17"/>
        <v>0</v>
      </c>
      <c r="T47" s="16">
        <f t="shared" si="17"/>
        <v>0</v>
      </c>
      <c r="U47" s="16">
        <f t="shared" si="17"/>
        <v>0</v>
      </c>
    </row>
    <row r="48">
      <c r="A48" s="19"/>
      <c r="B48" s="20" t="s">
        <v>16</v>
      </c>
      <c r="C48" s="21" t="s">
        <v>17</v>
      </c>
      <c r="D48" s="23"/>
      <c r="E48" s="23"/>
      <c r="F48" s="16">
        <f t="shared" ref="F48:F55" si="18">SUM(D48:E48)</f>
        <v>0</v>
      </c>
      <c r="G48" s="23"/>
      <c r="H48" s="23"/>
      <c r="I48" s="16">
        <f t="shared" ref="I48:I55" si="19">SUM(G48:H48)</f>
        <v>0</v>
      </c>
      <c r="J48" s="23"/>
      <c r="K48" s="23"/>
      <c r="L48" s="16">
        <f t="shared" ref="L48:L55" si="20">SUM(J48:K48)</f>
        <v>0</v>
      </c>
      <c r="M48" s="23"/>
      <c r="N48" s="23"/>
      <c r="O48" s="16">
        <f t="shared" ref="O48:O55" si="21">SUM(M48:N48)</f>
        <v>0</v>
      </c>
      <c r="P48" s="23"/>
      <c r="Q48" s="23"/>
      <c r="R48" s="16">
        <f t="shared" ref="R48:R55" si="22">SUM(P48:Q48)</f>
        <v>0</v>
      </c>
      <c r="S48" s="23"/>
      <c r="T48" s="23"/>
      <c r="U48" s="16">
        <f t="shared" ref="U48:U55" si="23">SUM(S48:T48)</f>
        <v>0</v>
      </c>
    </row>
    <row r="49">
      <c r="A49" s="19"/>
      <c r="B49" s="20" t="s">
        <v>19</v>
      </c>
      <c r="C49" s="21" t="s">
        <v>20</v>
      </c>
      <c r="D49" s="23"/>
      <c r="E49" s="23"/>
      <c r="F49" s="16">
        <f t="shared" si="18"/>
        <v>0</v>
      </c>
      <c r="G49" s="23"/>
      <c r="H49" s="23"/>
      <c r="I49" s="16">
        <f t="shared" si="19"/>
        <v>0</v>
      </c>
      <c r="J49" s="23"/>
      <c r="K49" s="23"/>
      <c r="L49" s="16">
        <f t="shared" si="20"/>
        <v>0</v>
      </c>
      <c r="M49" s="23"/>
      <c r="N49" s="23"/>
      <c r="O49" s="16">
        <f t="shared" si="21"/>
        <v>0</v>
      </c>
      <c r="P49" s="23"/>
      <c r="Q49" s="23"/>
      <c r="R49" s="16">
        <f t="shared" si="22"/>
        <v>0</v>
      </c>
      <c r="S49" s="23"/>
      <c r="T49" s="23"/>
      <c r="U49" s="16">
        <f t="shared" si="23"/>
        <v>0</v>
      </c>
    </row>
    <row r="50">
      <c r="A50" s="19"/>
      <c r="B50" s="20" t="s">
        <v>22</v>
      </c>
      <c r="C50" s="21" t="s">
        <v>23</v>
      </c>
      <c r="D50" s="23"/>
      <c r="E50" s="23"/>
      <c r="F50" s="16">
        <f t="shared" si="18"/>
        <v>0</v>
      </c>
      <c r="G50" s="23"/>
      <c r="H50" s="23"/>
      <c r="I50" s="16">
        <f t="shared" si="19"/>
        <v>0</v>
      </c>
      <c r="J50" s="23"/>
      <c r="K50" s="23"/>
      <c r="L50" s="16">
        <f t="shared" si="20"/>
        <v>0</v>
      </c>
      <c r="M50" s="23"/>
      <c r="N50" s="23"/>
      <c r="O50" s="16">
        <f t="shared" si="21"/>
        <v>0</v>
      </c>
      <c r="P50" s="23"/>
      <c r="Q50" s="23"/>
      <c r="R50" s="16">
        <f t="shared" si="22"/>
        <v>0</v>
      </c>
      <c r="S50" s="23"/>
      <c r="T50" s="23"/>
      <c r="U50" s="16">
        <f t="shared" si="23"/>
        <v>0</v>
      </c>
    </row>
    <row r="51">
      <c r="A51" s="19"/>
      <c r="B51" s="20" t="s">
        <v>25</v>
      </c>
      <c r="C51" s="21" t="s">
        <v>26</v>
      </c>
      <c r="D51" s="23"/>
      <c r="E51" s="23"/>
      <c r="F51" s="16">
        <f t="shared" si="18"/>
        <v>0</v>
      </c>
      <c r="G51" s="23"/>
      <c r="H51" s="23"/>
      <c r="I51" s="16">
        <f t="shared" si="19"/>
        <v>0</v>
      </c>
      <c r="J51" s="23"/>
      <c r="K51" s="23"/>
      <c r="L51" s="16">
        <f t="shared" si="20"/>
        <v>0</v>
      </c>
      <c r="M51" s="23"/>
      <c r="N51" s="23"/>
      <c r="O51" s="16">
        <f t="shared" si="21"/>
        <v>0</v>
      </c>
      <c r="P51" s="23"/>
      <c r="Q51" s="23"/>
      <c r="R51" s="16">
        <f t="shared" si="22"/>
        <v>0</v>
      </c>
      <c r="S51" s="23"/>
      <c r="T51" s="23"/>
      <c r="U51" s="16">
        <f t="shared" si="23"/>
        <v>0</v>
      </c>
    </row>
    <row r="52">
      <c r="A52" s="19"/>
      <c r="B52" s="20" t="s">
        <v>27</v>
      </c>
      <c r="C52" s="21" t="s">
        <v>28</v>
      </c>
      <c r="D52" s="23"/>
      <c r="E52" s="23"/>
      <c r="F52" s="16">
        <f t="shared" si="18"/>
        <v>0</v>
      </c>
      <c r="G52" s="23"/>
      <c r="H52" s="23"/>
      <c r="I52" s="16">
        <f t="shared" si="19"/>
        <v>0</v>
      </c>
      <c r="J52" s="23"/>
      <c r="K52" s="23"/>
      <c r="L52" s="16">
        <f t="shared" si="20"/>
        <v>0</v>
      </c>
      <c r="M52" s="23"/>
      <c r="N52" s="23"/>
      <c r="O52" s="16">
        <f t="shared" si="21"/>
        <v>0</v>
      </c>
      <c r="P52" s="23"/>
      <c r="Q52" s="23"/>
      <c r="R52" s="16">
        <f t="shared" si="22"/>
        <v>0</v>
      </c>
      <c r="S52" s="23"/>
      <c r="T52" s="23"/>
      <c r="U52" s="16">
        <f t="shared" si="23"/>
        <v>0</v>
      </c>
    </row>
    <row r="53">
      <c r="A53" s="19"/>
      <c r="B53" s="20" t="s">
        <v>29</v>
      </c>
      <c r="C53" s="21" t="s">
        <v>30</v>
      </c>
      <c r="D53" s="23"/>
      <c r="E53" s="23"/>
      <c r="F53" s="16">
        <f t="shared" si="18"/>
        <v>0</v>
      </c>
      <c r="G53" s="23"/>
      <c r="H53" s="23"/>
      <c r="I53" s="16">
        <f t="shared" si="19"/>
        <v>0</v>
      </c>
      <c r="J53" s="23"/>
      <c r="K53" s="23"/>
      <c r="L53" s="16">
        <f t="shared" si="20"/>
        <v>0</v>
      </c>
      <c r="M53" s="23"/>
      <c r="N53" s="23"/>
      <c r="O53" s="16">
        <f t="shared" si="21"/>
        <v>0</v>
      </c>
      <c r="P53" s="23"/>
      <c r="Q53" s="23"/>
      <c r="R53" s="16">
        <f t="shared" si="22"/>
        <v>0</v>
      </c>
      <c r="S53" s="23"/>
      <c r="T53" s="23"/>
      <c r="U53" s="16">
        <f t="shared" si="23"/>
        <v>0</v>
      </c>
    </row>
    <row r="54">
      <c r="A54" s="19"/>
      <c r="B54" s="20" t="s">
        <v>31</v>
      </c>
      <c r="C54" s="21" t="s">
        <v>32</v>
      </c>
      <c r="D54" s="23"/>
      <c r="E54" s="23"/>
      <c r="F54" s="16">
        <f t="shared" si="18"/>
        <v>0</v>
      </c>
      <c r="G54" s="23"/>
      <c r="H54" s="23"/>
      <c r="I54" s="16">
        <f t="shared" si="19"/>
        <v>0</v>
      </c>
      <c r="J54" s="23"/>
      <c r="K54" s="23"/>
      <c r="L54" s="16">
        <f t="shared" si="20"/>
        <v>0</v>
      </c>
      <c r="M54" s="23"/>
      <c r="N54" s="23"/>
      <c r="O54" s="16">
        <f t="shared" si="21"/>
        <v>0</v>
      </c>
      <c r="P54" s="23"/>
      <c r="Q54" s="23"/>
      <c r="R54" s="16">
        <f t="shared" si="22"/>
        <v>0</v>
      </c>
      <c r="S54" s="23"/>
      <c r="T54" s="23"/>
      <c r="U54" s="16">
        <f t="shared" si="23"/>
        <v>0</v>
      </c>
    </row>
    <row r="55">
      <c r="A55" s="10"/>
      <c r="B55" s="20" t="s">
        <v>33</v>
      </c>
      <c r="C55" s="21" t="s">
        <v>34</v>
      </c>
      <c r="D55" s="23"/>
      <c r="E55" s="23"/>
      <c r="F55" s="16">
        <f t="shared" si="18"/>
        <v>0</v>
      </c>
      <c r="G55" s="23"/>
      <c r="H55" s="23"/>
      <c r="I55" s="16">
        <f t="shared" si="19"/>
        <v>0</v>
      </c>
      <c r="J55" s="23"/>
      <c r="K55" s="23"/>
      <c r="L55" s="16">
        <f t="shared" si="20"/>
        <v>0</v>
      </c>
      <c r="M55" s="23"/>
      <c r="N55" s="23"/>
      <c r="O55" s="16">
        <f t="shared" si="21"/>
        <v>0</v>
      </c>
      <c r="P55" s="23"/>
      <c r="Q55" s="23"/>
      <c r="R55" s="16">
        <f t="shared" si="22"/>
        <v>0</v>
      </c>
      <c r="S55" s="23"/>
      <c r="T55" s="23"/>
      <c r="U55" s="16">
        <f t="shared" si="23"/>
        <v>0</v>
      </c>
    </row>
    <row r="56">
      <c r="A56" s="17">
        <v>3.0</v>
      </c>
      <c r="B56" s="18" t="s">
        <v>35</v>
      </c>
      <c r="C56" s="9"/>
      <c r="D56" s="16">
        <f t="shared" ref="D56:U56" si="24">SUM(D57:D79)</f>
        <v>0</v>
      </c>
      <c r="E56" s="16">
        <f t="shared" si="24"/>
        <v>0</v>
      </c>
      <c r="F56" s="16">
        <f t="shared" si="24"/>
        <v>0</v>
      </c>
      <c r="G56" s="16">
        <f t="shared" si="24"/>
        <v>0</v>
      </c>
      <c r="H56" s="16">
        <f t="shared" si="24"/>
        <v>0</v>
      </c>
      <c r="I56" s="16">
        <f t="shared" si="24"/>
        <v>0</v>
      </c>
      <c r="J56" s="16">
        <f t="shared" si="24"/>
        <v>0</v>
      </c>
      <c r="K56" s="16">
        <f t="shared" si="24"/>
        <v>0</v>
      </c>
      <c r="L56" s="16">
        <f t="shared" si="24"/>
        <v>0</v>
      </c>
      <c r="M56" s="16">
        <f t="shared" si="24"/>
        <v>0</v>
      </c>
      <c r="N56" s="16">
        <f t="shared" si="24"/>
        <v>0</v>
      </c>
      <c r="O56" s="16">
        <f t="shared" si="24"/>
        <v>0</v>
      </c>
      <c r="P56" s="16">
        <f t="shared" si="24"/>
        <v>0</v>
      </c>
      <c r="Q56" s="16">
        <f t="shared" si="24"/>
        <v>0</v>
      </c>
      <c r="R56" s="16">
        <f t="shared" si="24"/>
        <v>0</v>
      </c>
      <c r="S56" s="16">
        <f t="shared" si="24"/>
        <v>0</v>
      </c>
      <c r="T56" s="16">
        <f t="shared" si="24"/>
        <v>0</v>
      </c>
      <c r="U56" s="16">
        <f t="shared" si="24"/>
        <v>0</v>
      </c>
    </row>
    <row r="57">
      <c r="A57" s="19"/>
      <c r="B57" s="20" t="s">
        <v>16</v>
      </c>
      <c r="C57" s="21" t="s">
        <v>36</v>
      </c>
      <c r="D57" s="23"/>
      <c r="E57" s="23"/>
      <c r="F57" s="16">
        <f t="shared" ref="F57:F79" si="25">SUM(D57:E57)</f>
        <v>0</v>
      </c>
      <c r="G57" s="23"/>
      <c r="H57" s="23"/>
      <c r="I57" s="16">
        <f t="shared" ref="I57:I79" si="26">SUM(G57:H57)</f>
        <v>0</v>
      </c>
      <c r="J57" s="23"/>
      <c r="K57" s="23"/>
      <c r="L57" s="16">
        <f t="shared" ref="L57:L79" si="27">SUM(J57:K57)</f>
        <v>0</v>
      </c>
      <c r="M57" s="23"/>
      <c r="N57" s="23"/>
      <c r="O57" s="16">
        <f t="shared" ref="O57:O79" si="28">SUM(M57:N57)</f>
        <v>0</v>
      </c>
      <c r="P57" s="23"/>
      <c r="Q57" s="23"/>
      <c r="R57" s="16">
        <f t="shared" ref="R57:R79" si="29">SUM(P57:Q57)</f>
        <v>0</v>
      </c>
      <c r="S57" s="23"/>
      <c r="T57" s="23"/>
      <c r="U57" s="16">
        <f t="shared" ref="U57:U79" si="30">SUM(S57:T57)</f>
        <v>0</v>
      </c>
    </row>
    <row r="58">
      <c r="A58" s="19"/>
      <c r="B58" s="20" t="s">
        <v>19</v>
      </c>
      <c r="C58" s="21" t="s">
        <v>37</v>
      </c>
      <c r="D58" s="23"/>
      <c r="E58" s="23"/>
      <c r="F58" s="16">
        <f t="shared" si="25"/>
        <v>0</v>
      </c>
      <c r="G58" s="23"/>
      <c r="H58" s="23"/>
      <c r="I58" s="16">
        <f t="shared" si="26"/>
        <v>0</v>
      </c>
      <c r="J58" s="23"/>
      <c r="K58" s="23"/>
      <c r="L58" s="16">
        <f t="shared" si="27"/>
        <v>0</v>
      </c>
      <c r="M58" s="23"/>
      <c r="N58" s="23"/>
      <c r="O58" s="16">
        <f t="shared" si="28"/>
        <v>0</v>
      </c>
      <c r="P58" s="23"/>
      <c r="Q58" s="23"/>
      <c r="R58" s="16">
        <f t="shared" si="29"/>
        <v>0</v>
      </c>
      <c r="S58" s="23"/>
      <c r="T58" s="23"/>
      <c r="U58" s="16">
        <f t="shared" si="30"/>
        <v>0</v>
      </c>
    </row>
    <row r="59">
      <c r="A59" s="19"/>
      <c r="B59" s="20" t="s">
        <v>22</v>
      </c>
      <c r="C59" s="21" t="s">
        <v>38</v>
      </c>
      <c r="D59" s="23"/>
      <c r="E59" s="23"/>
      <c r="F59" s="16">
        <f t="shared" si="25"/>
        <v>0</v>
      </c>
      <c r="G59" s="23"/>
      <c r="H59" s="23"/>
      <c r="I59" s="16">
        <f t="shared" si="26"/>
        <v>0</v>
      </c>
      <c r="J59" s="23"/>
      <c r="K59" s="23"/>
      <c r="L59" s="16">
        <f t="shared" si="27"/>
        <v>0</v>
      </c>
      <c r="M59" s="23"/>
      <c r="N59" s="23"/>
      <c r="O59" s="16">
        <f t="shared" si="28"/>
        <v>0</v>
      </c>
      <c r="P59" s="23"/>
      <c r="Q59" s="23"/>
      <c r="R59" s="16">
        <f t="shared" si="29"/>
        <v>0</v>
      </c>
      <c r="S59" s="23"/>
      <c r="T59" s="23"/>
      <c r="U59" s="16">
        <f t="shared" si="30"/>
        <v>0</v>
      </c>
    </row>
    <row r="60">
      <c r="A60" s="19"/>
      <c r="B60" s="20" t="s">
        <v>25</v>
      </c>
      <c r="C60" s="21" t="s">
        <v>39</v>
      </c>
      <c r="D60" s="23"/>
      <c r="E60" s="23"/>
      <c r="F60" s="16">
        <f t="shared" si="25"/>
        <v>0</v>
      </c>
      <c r="G60" s="23"/>
      <c r="H60" s="23"/>
      <c r="I60" s="16">
        <f t="shared" si="26"/>
        <v>0</v>
      </c>
      <c r="J60" s="23"/>
      <c r="K60" s="23"/>
      <c r="L60" s="16">
        <f t="shared" si="27"/>
        <v>0</v>
      </c>
      <c r="M60" s="23"/>
      <c r="N60" s="23"/>
      <c r="O60" s="16">
        <f t="shared" si="28"/>
        <v>0</v>
      </c>
      <c r="P60" s="23"/>
      <c r="Q60" s="23"/>
      <c r="R60" s="16">
        <f t="shared" si="29"/>
        <v>0</v>
      </c>
      <c r="S60" s="23"/>
      <c r="T60" s="23"/>
      <c r="U60" s="16">
        <f t="shared" si="30"/>
        <v>0</v>
      </c>
    </row>
    <row r="61">
      <c r="A61" s="19"/>
      <c r="B61" s="20" t="s">
        <v>27</v>
      </c>
      <c r="C61" s="21" t="s">
        <v>80</v>
      </c>
      <c r="D61" s="23"/>
      <c r="E61" s="23"/>
      <c r="F61" s="16">
        <f t="shared" si="25"/>
        <v>0</v>
      </c>
      <c r="G61" s="23"/>
      <c r="H61" s="23"/>
      <c r="I61" s="16">
        <f t="shared" si="26"/>
        <v>0</v>
      </c>
      <c r="J61" s="23"/>
      <c r="K61" s="23"/>
      <c r="L61" s="16">
        <f t="shared" si="27"/>
        <v>0</v>
      </c>
      <c r="M61" s="23"/>
      <c r="N61" s="23"/>
      <c r="O61" s="16">
        <f t="shared" si="28"/>
        <v>0</v>
      </c>
      <c r="P61" s="23"/>
      <c r="Q61" s="23"/>
      <c r="R61" s="16">
        <f t="shared" si="29"/>
        <v>0</v>
      </c>
      <c r="S61" s="23"/>
      <c r="T61" s="23"/>
      <c r="U61" s="16">
        <f t="shared" si="30"/>
        <v>0</v>
      </c>
    </row>
    <row r="62">
      <c r="A62" s="19"/>
      <c r="B62" s="20" t="s">
        <v>29</v>
      </c>
      <c r="C62" s="21" t="s">
        <v>41</v>
      </c>
      <c r="D62" s="23"/>
      <c r="E62" s="23"/>
      <c r="F62" s="16">
        <f t="shared" si="25"/>
        <v>0</v>
      </c>
      <c r="G62" s="23"/>
      <c r="H62" s="23"/>
      <c r="I62" s="16">
        <f t="shared" si="26"/>
        <v>0</v>
      </c>
      <c r="J62" s="23"/>
      <c r="K62" s="23"/>
      <c r="L62" s="16">
        <f t="shared" si="27"/>
        <v>0</v>
      </c>
      <c r="M62" s="23"/>
      <c r="N62" s="23"/>
      <c r="O62" s="16">
        <f t="shared" si="28"/>
        <v>0</v>
      </c>
      <c r="P62" s="23"/>
      <c r="Q62" s="23"/>
      <c r="R62" s="16">
        <f t="shared" si="29"/>
        <v>0</v>
      </c>
      <c r="S62" s="23"/>
      <c r="T62" s="23"/>
      <c r="U62" s="16">
        <f t="shared" si="30"/>
        <v>0</v>
      </c>
    </row>
    <row r="63">
      <c r="A63" s="19"/>
      <c r="B63" s="20" t="s">
        <v>31</v>
      </c>
      <c r="C63" s="21" t="s">
        <v>42</v>
      </c>
      <c r="D63" s="23"/>
      <c r="E63" s="23"/>
      <c r="F63" s="16">
        <f t="shared" si="25"/>
        <v>0</v>
      </c>
      <c r="G63" s="23"/>
      <c r="H63" s="23"/>
      <c r="I63" s="16">
        <f t="shared" si="26"/>
        <v>0</v>
      </c>
      <c r="J63" s="23"/>
      <c r="K63" s="23"/>
      <c r="L63" s="16">
        <f t="shared" si="27"/>
        <v>0</v>
      </c>
      <c r="M63" s="23"/>
      <c r="N63" s="23"/>
      <c r="O63" s="16">
        <f t="shared" si="28"/>
        <v>0</v>
      </c>
      <c r="P63" s="23"/>
      <c r="Q63" s="23"/>
      <c r="R63" s="16">
        <f t="shared" si="29"/>
        <v>0</v>
      </c>
      <c r="S63" s="23"/>
      <c r="T63" s="23"/>
      <c r="U63" s="16">
        <f t="shared" si="30"/>
        <v>0</v>
      </c>
    </row>
    <row r="64">
      <c r="A64" s="19"/>
      <c r="B64" s="20" t="s">
        <v>33</v>
      </c>
      <c r="C64" s="21" t="s">
        <v>43</v>
      </c>
      <c r="D64" s="23"/>
      <c r="E64" s="23"/>
      <c r="F64" s="16">
        <f t="shared" si="25"/>
        <v>0</v>
      </c>
      <c r="G64" s="23"/>
      <c r="H64" s="23"/>
      <c r="I64" s="16">
        <f t="shared" si="26"/>
        <v>0</v>
      </c>
      <c r="J64" s="23"/>
      <c r="K64" s="23"/>
      <c r="L64" s="16">
        <f t="shared" si="27"/>
        <v>0</v>
      </c>
      <c r="M64" s="23"/>
      <c r="N64" s="23"/>
      <c r="O64" s="16">
        <f t="shared" si="28"/>
        <v>0</v>
      </c>
      <c r="P64" s="23"/>
      <c r="Q64" s="23"/>
      <c r="R64" s="16">
        <f t="shared" si="29"/>
        <v>0</v>
      </c>
      <c r="S64" s="23"/>
      <c r="T64" s="23"/>
      <c r="U64" s="16">
        <f t="shared" si="30"/>
        <v>0</v>
      </c>
    </row>
    <row r="65">
      <c r="A65" s="19"/>
      <c r="B65" s="20" t="s">
        <v>44</v>
      </c>
      <c r="C65" s="21" t="s">
        <v>45</v>
      </c>
      <c r="D65" s="23"/>
      <c r="E65" s="23"/>
      <c r="F65" s="16">
        <f t="shared" si="25"/>
        <v>0</v>
      </c>
      <c r="G65" s="23"/>
      <c r="H65" s="23"/>
      <c r="I65" s="16">
        <f t="shared" si="26"/>
        <v>0</v>
      </c>
      <c r="J65" s="23"/>
      <c r="K65" s="23"/>
      <c r="L65" s="16">
        <f t="shared" si="27"/>
        <v>0</v>
      </c>
      <c r="M65" s="23"/>
      <c r="N65" s="23"/>
      <c r="O65" s="16">
        <f t="shared" si="28"/>
        <v>0</v>
      </c>
      <c r="P65" s="23"/>
      <c r="Q65" s="23"/>
      <c r="R65" s="16">
        <f t="shared" si="29"/>
        <v>0</v>
      </c>
      <c r="S65" s="23"/>
      <c r="T65" s="23"/>
      <c r="U65" s="16">
        <f t="shared" si="30"/>
        <v>0</v>
      </c>
    </row>
    <row r="66">
      <c r="A66" s="19"/>
      <c r="B66" s="20" t="s">
        <v>46</v>
      </c>
      <c r="C66" s="21" t="s">
        <v>47</v>
      </c>
      <c r="D66" s="23"/>
      <c r="E66" s="23"/>
      <c r="F66" s="16">
        <f t="shared" si="25"/>
        <v>0</v>
      </c>
      <c r="G66" s="23"/>
      <c r="H66" s="23"/>
      <c r="I66" s="16">
        <f t="shared" si="26"/>
        <v>0</v>
      </c>
      <c r="J66" s="23"/>
      <c r="K66" s="23"/>
      <c r="L66" s="16">
        <f t="shared" si="27"/>
        <v>0</v>
      </c>
      <c r="M66" s="23"/>
      <c r="N66" s="23"/>
      <c r="O66" s="16">
        <f t="shared" si="28"/>
        <v>0</v>
      </c>
      <c r="P66" s="23"/>
      <c r="Q66" s="23"/>
      <c r="R66" s="16">
        <f t="shared" si="29"/>
        <v>0</v>
      </c>
      <c r="S66" s="23"/>
      <c r="T66" s="23"/>
      <c r="U66" s="16">
        <f t="shared" si="30"/>
        <v>0</v>
      </c>
    </row>
    <row r="67">
      <c r="A67" s="19"/>
      <c r="B67" s="20" t="s">
        <v>48</v>
      </c>
      <c r="C67" s="21" t="s">
        <v>49</v>
      </c>
      <c r="D67" s="23"/>
      <c r="E67" s="23"/>
      <c r="F67" s="16">
        <f t="shared" si="25"/>
        <v>0</v>
      </c>
      <c r="G67" s="23"/>
      <c r="H67" s="23"/>
      <c r="I67" s="16">
        <f t="shared" si="26"/>
        <v>0</v>
      </c>
      <c r="J67" s="23"/>
      <c r="K67" s="23"/>
      <c r="L67" s="16">
        <f t="shared" si="27"/>
        <v>0</v>
      </c>
      <c r="M67" s="23"/>
      <c r="N67" s="23"/>
      <c r="O67" s="16">
        <f t="shared" si="28"/>
        <v>0</v>
      </c>
      <c r="P67" s="23"/>
      <c r="Q67" s="23"/>
      <c r="R67" s="16">
        <f t="shared" si="29"/>
        <v>0</v>
      </c>
      <c r="S67" s="23"/>
      <c r="T67" s="23"/>
      <c r="U67" s="16">
        <f t="shared" si="30"/>
        <v>0</v>
      </c>
    </row>
    <row r="68">
      <c r="A68" s="19"/>
      <c r="B68" s="20" t="s">
        <v>50</v>
      </c>
      <c r="C68" s="21" t="s">
        <v>51</v>
      </c>
      <c r="D68" s="23"/>
      <c r="E68" s="23"/>
      <c r="F68" s="16">
        <f t="shared" si="25"/>
        <v>0</v>
      </c>
      <c r="G68" s="23"/>
      <c r="H68" s="23"/>
      <c r="I68" s="16">
        <f t="shared" si="26"/>
        <v>0</v>
      </c>
      <c r="J68" s="23"/>
      <c r="K68" s="23"/>
      <c r="L68" s="16">
        <f t="shared" si="27"/>
        <v>0</v>
      </c>
      <c r="M68" s="23"/>
      <c r="N68" s="23"/>
      <c r="O68" s="16">
        <f t="shared" si="28"/>
        <v>0</v>
      </c>
      <c r="P68" s="23"/>
      <c r="Q68" s="23"/>
      <c r="R68" s="16">
        <f t="shared" si="29"/>
        <v>0</v>
      </c>
      <c r="S68" s="23"/>
      <c r="T68" s="23"/>
      <c r="U68" s="16">
        <f t="shared" si="30"/>
        <v>0</v>
      </c>
    </row>
    <row r="69">
      <c r="A69" s="19"/>
      <c r="B69" s="20" t="s">
        <v>52</v>
      </c>
      <c r="C69" s="21" t="s">
        <v>53</v>
      </c>
      <c r="D69" s="23"/>
      <c r="E69" s="23"/>
      <c r="F69" s="16">
        <f t="shared" si="25"/>
        <v>0</v>
      </c>
      <c r="G69" s="23"/>
      <c r="H69" s="23"/>
      <c r="I69" s="16">
        <f t="shared" si="26"/>
        <v>0</v>
      </c>
      <c r="J69" s="23"/>
      <c r="K69" s="23"/>
      <c r="L69" s="16">
        <f t="shared" si="27"/>
        <v>0</v>
      </c>
      <c r="M69" s="23"/>
      <c r="N69" s="23"/>
      <c r="O69" s="16">
        <f t="shared" si="28"/>
        <v>0</v>
      </c>
      <c r="P69" s="23"/>
      <c r="Q69" s="23"/>
      <c r="R69" s="16">
        <f t="shared" si="29"/>
        <v>0</v>
      </c>
      <c r="S69" s="23"/>
      <c r="T69" s="23"/>
      <c r="U69" s="16">
        <f t="shared" si="30"/>
        <v>0</v>
      </c>
    </row>
    <row r="70">
      <c r="A70" s="19"/>
      <c r="B70" s="20" t="s">
        <v>54</v>
      </c>
      <c r="C70" s="21" t="s">
        <v>55</v>
      </c>
      <c r="D70" s="23"/>
      <c r="E70" s="23"/>
      <c r="F70" s="16">
        <f t="shared" si="25"/>
        <v>0</v>
      </c>
      <c r="G70" s="23"/>
      <c r="H70" s="23"/>
      <c r="I70" s="16">
        <f t="shared" si="26"/>
        <v>0</v>
      </c>
      <c r="J70" s="23"/>
      <c r="K70" s="23"/>
      <c r="L70" s="16">
        <f t="shared" si="27"/>
        <v>0</v>
      </c>
      <c r="M70" s="23"/>
      <c r="N70" s="23"/>
      <c r="O70" s="16">
        <f t="shared" si="28"/>
        <v>0</v>
      </c>
      <c r="P70" s="23"/>
      <c r="Q70" s="23"/>
      <c r="R70" s="16">
        <f t="shared" si="29"/>
        <v>0</v>
      </c>
      <c r="S70" s="23"/>
      <c r="T70" s="23"/>
      <c r="U70" s="16">
        <f t="shared" si="30"/>
        <v>0</v>
      </c>
    </row>
    <row r="71">
      <c r="A71" s="19"/>
      <c r="B71" s="20" t="s">
        <v>56</v>
      </c>
      <c r="C71" s="21" t="s">
        <v>57</v>
      </c>
      <c r="D71" s="23"/>
      <c r="E71" s="23"/>
      <c r="F71" s="16">
        <f t="shared" si="25"/>
        <v>0</v>
      </c>
      <c r="G71" s="23"/>
      <c r="H71" s="23"/>
      <c r="I71" s="16">
        <f t="shared" si="26"/>
        <v>0</v>
      </c>
      <c r="J71" s="23"/>
      <c r="K71" s="23"/>
      <c r="L71" s="16">
        <f t="shared" si="27"/>
        <v>0</v>
      </c>
      <c r="M71" s="23"/>
      <c r="N71" s="23"/>
      <c r="O71" s="16">
        <f t="shared" si="28"/>
        <v>0</v>
      </c>
      <c r="P71" s="23"/>
      <c r="Q71" s="23"/>
      <c r="R71" s="16">
        <f t="shared" si="29"/>
        <v>0</v>
      </c>
      <c r="S71" s="23"/>
      <c r="T71" s="23"/>
      <c r="U71" s="16">
        <f t="shared" si="30"/>
        <v>0</v>
      </c>
    </row>
    <row r="72">
      <c r="A72" s="19"/>
      <c r="B72" s="20" t="s">
        <v>58</v>
      </c>
      <c r="C72" s="21" t="s">
        <v>59</v>
      </c>
      <c r="D72" s="23"/>
      <c r="E72" s="23"/>
      <c r="F72" s="16">
        <f t="shared" si="25"/>
        <v>0</v>
      </c>
      <c r="G72" s="23"/>
      <c r="H72" s="23"/>
      <c r="I72" s="16">
        <f t="shared" si="26"/>
        <v>0</v>
      </c>
      <c r="J72" s="23"/>
      <c r="K72" s="23"/>
      <c r="L72" s="16">
        <f t="shared" si="27"/>
        <v>0</v>
      </c>
      <c r="M72" s="23"/>
      <c r="N72" s="23"/>
      <c r="O72" s="16">
        <f t="shared" si="28"/>
        <v>0</v>
      </c>
      <c r="P72" s="23"/>
      <c r="Q72" s="23"/>
      <c r="R72" s="16">
        <f t="shared" si="29"/>
        <v>0</v>
      </c>
      <c r="S72" s="23"/>
      <c r="T72" s="23"/>
      <c r="U72" s="16">
        <f t="shared" si="30"/>
        <v>0</v>
      </c>
    </row>
    <row r="73">
      <c r="A73" s="19"/>
      <c r="B73" s="20" t="s">
        <v>60</v>
      </c>
      <c r="C73" s="21" t="s">
        <v>61</v>
      </c>
      <c r="D73" s="23"/>
      <c r="E73" s="23"/>
      <c r="F73" s="16">
        <f t="shared" si="25"/>
        <v>0</v>
      </c>
      <c r="G73" s="23"/>
      <c r="H73" s="23"/>
      <c r="I73" s="16">
        <f t="shared" si="26"/>
        <v>0</v>
      </c>
      <c r="J73" s="23"/>
      <c r="K73" s="23"/>
      <c r="L73" s="16">
        <f t="shared" si="27"/>
        <v>0</v>
      </c>
      <c r="M73" s="23"/>
      <c r="N73" s="23"/>
      <c r="O73" s="16">
        <f t="shared" si="28"/>
        <v>0</v>
      </c>
      <c r="P73" s="23"/>
      <c r="Q73" s="23"/>
      <c r="R73" s="16">
        <f t="shared" si="29"/>
        <v>0</v>
      </c>
      <c r="S73" s="23"/>
      <c r="T73" s="23"/>
      <c r="U73" s="16">
        <f t="shared" si="30"/>
        <v>0</v>
      </c>
    </row>
    <row r="74">
      <c r="A74" s="19"/>
      <c r="B74" s="20" t="s">
        <v>62</v>
      </c>
      <c r="C74" s="21" t="s">
        <v>63</v>
      </c>
      <c r="D74" s="23"/>
      <c r="E74" s="23"/>
      <c r="F74" s="16">
        <f t="shared" si="25"/>
        <v>0</v>
      </c>
      <c r="G74" s="23"/>
      <c r="H74" s="23"/>
      <c r="I74" s="16">
        <f t="shared" si="26"/>
        <v>0</v>
      </c>
      <c r="J74" s="23"/>
      <c r="K74" s="23"/>
      <c r="L74" s="16">
        <f t="shared" si="27"/>
        <v>0</v>
      </c>
      <c r="M74" s="23"/>
      <c r="N74" s="23"/>
      <c r="O74" s="16">
        <f t="shared" si="28"/>
        <v>0</v>
      </c>
      <c r="P74" s="23"/>
      <c r="Q74" s="23"/>
      <c r="R74" s="16">
        <f t="shared" si="29"/>
        <v>0</v>
      </c>
      <c r="S74" s="23"/>
      <c r="T74" s="23"/>
      <c r="U74" s="16">
        <f t="shared" si="30"/>
        <v>0</v>
      </c>
    </row>
    <row r="75">
      <c r="A75" s="19"/>
      <c r="B75" s="20" t="s">
        <v>64</v>
      </c>
      <c r="C75" s="21" t="s">
        <v>65</v>
      </c>
      <c r="D75" s="23"/>
      <c r="E75" s="23"/>
      <c r="F75" s="16">
        <f t="shared" si="25"/>
        <v>0</v>
      </c>
      <c r="G75" s="23"/>
      <c r="H75" s="23"/>
      <c r="I75" s="16">
        <f t="shared" si="26"/>
        <v>0</v>
      </c>
      <c r="J75" s="23"/>
      <c r="K75" s="23"/>
      <c r="L75" s="16">
        <f t="shared" si="27"/>
        <v>0</v>
      </c>
      <c r="M75" s="23"/>
      <c r="N75" s="23"/>
      <c r="O75" s="16">
        <f t="shared" si="28"/>
        <v>0</v>
      </c>
      <c r="P75" s="23"/>
      <c r="Q75" s="23"/>
      <c r="R75" s="16">
        <f t="shared" si="29"/>
        <v>0</v>
      </c>
      <c r="S75" s="23"/>
      <c r="T75" s="23"/>
      <c r="U75" s="16">
        <f t="shared" si="30"/>
        <v>0</v>
      </c>
    </row>
    <row r="76">
      <c r="A76" s="19"/>
      <c r="B76" s="20" t="s">
        <v>66</v>
      </c>
      <c r="C76" s="21" t="s">
        <v>67</v>
      </c>
      <c r="D76" s="23"/>
      <c r="E76" s="23"/>
      <c r="F76" s="16">
        <f t="shared" si="25"/>
        <v>0</v>
      </c>
      <c r="G76" s="23"/>
      <c r="H76" s="23"/>
      <c r="I76" s="16">
        <f t="shared" si="26"/>
        <v>0</v>
      </c>
      <c r="J76" s="23"/>
      <c r="K76" s="23"/>
      <c r="L76" s="16">
        <f t="shared" si="27"/>
        <v>0</v>
      </c>
      <c r="M76" s="23"/>
      <c r="N76" s="23"/>
      <c r="O76" s="16">
        <f t="shared" si="28"/>
        <v>0</v>
      </c>
      <c r="P76" s="23"/>
      <c r="Q76" s="23"/>
      <c r="R76" s="16">
        <f t="shared" si="29"/>
        <v>0</v>
      </c>
      <c r="S76" s="23"/>
      <c r="T76" s="23"/>
      <c r="U76" s="16">
        <f t="shared" si="30"/>
        <v>0</v>
      </c>
    </row>
    <row r="77">
      <c r="A77" s="19"/>
      <c r="B77" s="20" t="s">
        <v>68</v>
      </c>
      <c r="C77" s="21" t="s">
        <v>69</v>
      </c>
      <c r="D77" s="23"/>
      <c r="E77" s="23"/>
      <c r="F77" s="16">
        <f t="shared" si="25"/>
        <v>0</v>
      </c>
      <c r="G77" s="23"/>
      <c r="H77" s="23"/>
      <c r="I77" s="16">
        <f t="shared" si="26"/>
        <v>0</v>
      </c>
      <c r="J77" s="23"/>
      <c r="K77" s="23"/>
      <c r="L77" s="16">
        <f t="shared" si="27"/>
        <v>0</v>
      </c>
      <c r="M77" s="23"/>
      <c r="N77" s="23"/>
      <c r="O77" s="16">
        <f t="shared" si="28"/>
        <v>0</v>
      </c>
      <c r="P77" s="23"/>
      <c r="Q77" s="23"/>
      <c r="R77" s="16">
        <f t="shared" si="29"/>
        <v>0</v>
      </c>
      <c r="S77" s="23"/>
      <c r="T77" s="23"/>
      <c r="U77" s="16">
        <f t="shared" si="30"/>
        <v>0</v>
      </c>
    </row>
    <row r="78">
      <c r="A78" s="19"/>
      <c r="B78" s="20" t="s">
        <v>70</v>
      </c>
      <c r="C78" s="21" t="s">
        <v>71</v>
      </c>
      <c r="D78" s="23"/>
      <c r="E78" s="23"/>
      <c r="F78" s="16">
        <f t="shared" si="25"/>
        <v>0</v>
      </c>
      <c r="G78" s="23"/>
      <c r="H78" s="23"/>
      <c r="I78" s="16">
        <f t="shared" si="26"/>
        <v>0</v>
      </c>
      <c r="J78" s="23"/>
      <c r="K78" s="23"/>
      <c r="L78" s="16">
        <f t="shared" si="27"/>
        <v>0</v>
      </c>
      <c r="M78" s="23"/>
      <c r="N78" s="23"/>
      <c r="O78" s="16">
        <f t="shared" si="28"/>
        <v>0</v>
      </c>
      <c r="P78" s="23"/>
      <c r="Q78" s="23"/>
      <c r="R78" s="16">
        <f t="shared" si="29"/>
        <v>0</v>
      </c>
      <c r="S78" s="23"/>
      <c r="T78" s="23"/>
      <c r="U78" s="16">
        <f t="shared" si="30"/>
        <v>0</v>
      </c>
    </row>
    <row r="79">
      <c r="A79" s="10"/>
      <c r="B79" s="20" t="s">
        <v>72</v>
      </c>
      <c r="C79" s="21" t="s">
        <v>73</v>
      </c>
      <c r="D79" s="23"/>
      <c r="E79" s="23"/>
      <c r="F79" s="16">
        <f t="shared" si="25"/>
        <v>0</v>
      </c>
      <c r="G79" s="23"/>
      <c r="H79" s="23"/>
      <c r="I79" s="16">
        <f t="shared" si="26"/>
        <v>0</v>
      </c>
      <c r="J79" s="23"/>
      <c r="K79" s="23"/>
      <c r="L79" s="16">
        <f t="shared" si="27"/>
        <v>0</v>
      </c>
      <c r="M79" s="23"/>
      <c r="N79" s="23"/>
      <c r="O79" s="16">
        <f t="shared" si="28"/>
        <v>0</v>
      </c>
      <c r="P79" s="23"/>
      <c r="Q79" s="23"/>
      <c r="R79" s="16">
        <f t="shared" si="29"/>
        <v>0</v>
      </c>
      <c r="S79" s="23"/>
      <c r="T79" s="23"/>
      <c r="U79" s="16">
        <f t="shared" si="30"/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42.13"/>
    <col customWidth="1" min="4" max="5" width="4.5"/>
    <col customWidth="1" min="6" max="6" width="8.88"/>
    <col customWidth="1" min="7" max="8" width="4.5"/>
    <col customWidth="1" min="9" max="9" width="8.88"/>
    <col customWidth="1" min="10" max="11" width="4.5"/>
    <col customWidth="1" min="12" max="12" width="8.88"/>
    <col customWidth="1" min="13" max="14" width="4.5"/>
    <col customWidth="1" min="15" max="15" width="8.88"/>
    <col customWidth="1" min="16" max="17" width="4.5"/>
    <col customWidth="1" min="18" max="18" width="8.88"/>
    <col customWidth="1" min="19" max="20" width="4.5"/>
    <col customWidth="1" min="21" max="21" width="8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</row>
    <row r="3">
      <c r="A3" s="3" t="s">
        <v>1</v>
      </c>
    </row>
    <row r="4">
      <c r="A4" s="22" t="s">
        <v>89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4" t="s">
        <v>3</v>
      </c>
      <c r="B6" s="5" t="s">
        <v>4</v>
      </c>
      <c r="C6" s="6"/>
      <c r="D6" s="7" t="s">
        <v>5</v>
      </c>
      <c r="E6" s="8"/>
      <c r="F6" s="9"/>
      <c r="G6" s="7" t="s">
        <v>6</v>
      </c>
      <c r="H6" s="8"/>
      <c r="I6" s="9"/>
      <c r="J6" s="7" t="s">
        <v>7</v>
      </c>
      <c r="K6" s="8"/>
      <c r="L6" s="9"/>
      <c r="M6" s="7" t="s">
        <v>8</v>
      </c>
      <c r="N6" s="8"/>
      <c r="O6" s="9"/>
      <c r="P6" s="7" t="s">
        <v>9</v>
      </c>
      <c r="Q6" s="8"/>
      <c r="R6" s="9"/>
      <c r="S6" s="7" t="s">
        <v>10</v>
      </c>
      <c r="T6" s="8"/>
      <c r="U6" s="9"/>
    </row>
    <row r="7">
      <c r="A7" s="10"/>
      <c r="B7" s="11"/>
      <c r="C7" s="12"/>
      <c r="D7" s="13" t="s">
        <v>11</v>
      </c>
      <c r="E7" s="13" t="s">
        <v>12</v>
      </c>
      <c r="F7" s="13" t="s">
        <v>13</v>
      </c>
      <c r="G7" s="13" t="s">
        <v>11</v>
      </c>
      <c r="H7" s="13" t="s">
        <v>12</v>
      </c>
      <c r="I7" s="13" t="s">
        <v>13</v>
      </c>
      <c r="J7" s="13" t="s">
        <v>11</v>
      </c>
      <c r="K7" s="13" t="s">
        <v>12</v>
      </c>
      <c r="L7" s="13" t="s">
        <v>13</v>
      </c>
      <c r="M7" s="13" t="s">
        <v>11</v>
      </c>
      <c r="N7" s="13" t="s">
        <v>12</v>
      </c>
      <c r="O7" s="13" t="s">
        <v>13</v>
      </c>
      <c r="P7" s="13" t="s">
        <v>11</v>
      </c>
      <c r="Q7" s="13" t="s">
        <v>12</v>
      </c>
      <c r="R7" s="13" t="s">
        <v>13</v>
      </c>
      <c r="S7" s="13" t="s">
        <v>11</v>
      </c>
      <c r="T7" s="13" t="s">
        <v>12</v>
      </c>
      <c r="U7" s="13" t="s">
        <v>13</v>
      </c>
    </row>
    <row r="8">
      <c r="A8" s="14">
        <v>1.0</v>
      </c>
      <c r="B8" s="15" t="s">
        <v>14</v>
      </c>
      <c r="C8" s="9"/>
      <c r="D8" s="16">
        <f>SUM(JANUARI!D8+FEBRUARI!D8+MARET!D8+APRIL!D8+MEI!D8+JUNI!D8+JULI!D8+AGUSTUS!D8+SEPTEMBER!D8+OKTOBER!D8+NOVEMBER!D8+DESEMBER!D8)</f>
        <v>1536</v>
      </c>
      <c r="E8" s="16">
        <f>SUM(JANUARI!E8+FEBRUARI!E8+MARET!E8+APRIL!E8+MEI!E8+JUNI!E8+JULI!E8+AGUSTUS!E8+SEPTEMBER!E8+OKTOBER!E8+NOVEMBER!E8+DESEMBER!E8)</f>
        <v>4780</v>
      </c>
      <c r="F8" s="16">
        <f>SUM(JANUARI!F8+FEBRUARI!F8+MARET!F8+APRIL!F8+MEI!F8+JUNI!F8+JULI!F8+AGUSTUS!F8+SEPTEMBER!F8+OKTOBER!F8+NOVEMBER!F8+DESEMBER!F8)</f>
        <v>6316</v>
      </c>
      <c r="G8" s="16">
        <f>SUM(JANUARI!G8+FEBRUARI!G8+MARET!G8+APRIL!G8+MEI!G8+JUNI!G8+JULI!G8+AGUSTUS!G8+SEPTEMBER!G8+OKTOBER!G8+NOVEMBER!G8+DESEMBER!G8)</f>
        <v>1259</v>
      </c>
      <c r="H8" s="16">
        <f>SUM(JANUARI!H8+FEBRUARI!H8+MARET!H8+APRIL!H8+MEI!H8+JUNI!H8+JULI!H8+AGUSTUS!H8+SEPTEMBER!H8+OKTOBER!H8+NOVEMBER!H8+DESEMBER!H8)</f>
        <v>3593</v>
      </c>
      <c r="I8" s="16">
        <f>SUM(JANUARI!I8+FEBRUARI!I8+MARET!I8+APRIL!I8+MEI!I8+JUNI!I8+JULI!I8+AGUSTUS!I8+SEPTEMBER!I8+OKTOBER!I8+NOVEMBER!I8+DESEMBER!I8)</f>
        <v>4852</v>
      </c>
      <c r="J8" s="16">
        <f>SUM(JANUARI!J8+FEBRUARI!J8+MARET!J8+APRIL!J8+MEI!J8+JUNI!J8+JULI!J8+AGUSTUS!J8+SEPTEMBER!J8+OKTOBER!J8+NOVEMBER!J8+DESEMBER!J8)</f>
        <v>1013</v>
      </c>
      <c r="K8" s="16">
        <f>SUM(JANUARI!K8+FEBRUARI!K8+MARET!K8+APRIL!K8+MEI!K8+JUNI!K8+JULI!K8+AGUSTUS!K8+SEPTEMBER!K8+OKTOBER!K8+NOVEMBER!K8+DESEMBER!K8)</f>
        <v>3588</v>
      </c>
      <c r="L8" s="16">
        <f>SUM(JANUARI!L8+FEBRUARI!L8+MARET!L8+APRIL!L8+MEI!L8+JUNI!L8+JULI!L8+AGUSTUS!L8+SEPTEMBER!L8+OKTOBER!L8+NOVEMBER!L8+DESEMBER!L8)</f>
        <v>4601</v>
      </c>
      <c r="M8" s="16">
        <f>SUM(JANUARI!M8+FEBRUARI!M8+MARET!M8+APRIL!M8+MEI!M8+JUNI!M8+JULI!M8+AGUSTUS!M8+SEPTEMBER!M8+OKTOBER!M8+NOVEMBER!M8+DESEMBER!M8)</f>
        <v>797</v>
      </c>
      <c r="N8" s="16">
        <f>SUM(JANUARI!N8+FEBRUARI!N8+MARET!N8+APRIL!N8+MEI!N8+JUNI!N8+JULI!N8+AGUSTUS!N8+SEPTEMBER!N8+OKTOBER!N8+NOVEMBER!N8+DESEMBER!N8)</f>
        <v>2956</v>
      </c>
      <c r="O8" s="16">
        <f>SUM(JANUARI!O8+FEBRUARI!O8+MARET!O8+APRIL!O8+MEI!O8+JUNI!O8+JULI!O8+AGUSTUS!O8+SEPTEMBER!O8+OKTOBER!O8+NOVEMBER!O8+DESEMBER!O8)</f>
        <v>3753</v>
      </c>
      <c r="P8" s="16">
        <f>SUM(JANUARI!P8+FEBRUARI!P8+MARET!P8+APRIL!P8+MEI!P8+JUNI!P8+JULI!P8+AGUSTUS!P8+SEPTEMBER!P8+OKTOBER!P8+NOVEMBER!P8+DESEMBER!P8)</f>
        <v>925</v>
      </c>
      <c r="Q8" s="16">
        <f>SUM(JANUARI!Q8+FEBRUARI!Q8+MARET!Q8+APRIL!Q8+MEI!Q8+JUNI!Q8+JULI!Q8+AGUSTUS!Q8+SEPTEMBER!Q8+OKTOBER!Q8+NOVEMBER!Q8+DESEMBER!Q8)</f>
        <v>2879</v>
      </c>
      <c r="R8" s="16">
        <f>SUM(JANUARI!R8+FEBRUARI!R8+MARET!R8+APRIL!R8+MEI!R8+JUNI!R8+JULI!R8+AGUSTUS!R8+SEPTEMBER!R8+OKTOBER!R8+NOVEMBER!R8+DESEMBER!R8)</f>
        <v>3804</v>
      </c>
      <c r="S8" s="16">
        <f>SUM(JANUARI!S8+FEBRUARI!S8+MARET!S8+APRIL!S8+MEI!S8+JUNI!S8+JULI!S8+AGUSTUS!S8+SEPTEMBER!S8+OKTOBER!S8+NOVEMBER!S8+DESEMBER!S8)</f>
        <v>484</v>
      </c>
      <c r="T8" s="16">
        <f>SUM(JANUARI!T8+FEBRUARI!T8+MARET!T8+APRIL!T8+MEI!T8+JUNI!T8+JULI!T8+AGUSTUS!T8+SEPTEMBER!T8+OKTOBER!T8+NOVEMBER!T8+DESEMBER!T8)</f>
        <v>1100</v>
      </c>
      <c r="U8" s="16">
        <f>SUM(JANUARI!U8+FEBRUARI!U8+MARET!U8+APRIL!U8+MEI!U8+JUNI!U8+JULI!U8+AGUSTUS!U8+SEPTEMBER!U8+OKTOBER!U8+NOVEMBER!U8+DESEMBER!U8)</f>
        <v>1584</v>
      </c>
    </row>
    <row r="9">
      <c r="A9" s="17">
        <v>2.0</v>
      </c>
      <c r="B9" s="18" t="s">
        <v>15</v>
      </c>
      <c r="C9" s="9"/>
      <c r="D9" s="16">
        <f>SUM(JANUARI!D9+FEBRUARI!D9+MARET!D9+APRIL!D9+MEI!D9+JUNI!D9+JULI!D9+AGUSTUS!D9+SEPTEMBER!D9+OKTOBER!D9+NOVEMBER!D9+DESEMBER!D9)</f>
        <v>243</v>
      </c>
      <c r="E9" s="16">
        <f>SUM(JANUARI!E9+FEBRUARI!E9+MARET!E9+APRIL!E9+MEI!E9+JUNI!E9+JULI!E9+AGUSTUS!E9+SEPTEMBER!E9+OKTOBER!E9+NOVEMBER!E9+DESEMBER!E9)</f>
        <v>887</v>
      </c>
      <c r="F9" s="16">
        <f>SUM(JANUARI!F9+FEBRUARI!F9+MARET!F9+APRIL!F9+MEI!F9+JUNI!F9+JULI!F9+AGUSTUS!F9+SEPTEMBER!F9+OKTOBER!F9+NOVEMBER!F9+DESEMBER!F9)</f>
        <v>1130</v>
      </c>
      <c r="G9" s="16">
        <f>SUM(JANUARI!G9+FEBRUARI!G9+MARET!G9+APRIL!G9+MEI!G9+JUNI!G9+JULI!G9+AGUSTUS!G9+SEPTEMBER!G9+OKTOBER!G9+NOVEMBER!G9+DESEMBER!G9)</f>
        <v>449</v>
      </c>
      <c r="H9" s="16">
        <f>SUM(JANUARI!H9+FEBRUARI!H9+MARET!H9+APRIL!H9+MEI!H9+JUNI!H9+JULI!H9+AGUSTUS!H9+SEPTEMBER!H9+OKTOBER!H9+NOVEMBER!H9+DESEMBER!H9)</f>
        <v>923</v>
      </c>
      <c r="I9" s="16">
        <f>SUM(JANUARI!I9+FEBRUARI!I9+MARET!I9+APRIL!I9+MEI!I9+JUNI!I9+JULI!I9+AGUSTUS!I9+SEPTEMBER!I9+OKTOBER!I9+NOVEMBER!I9+DESEMBER!I9)</f>
        <v>1372</v>
      </c>
      <c r="J9" s="16">
        <f>SUM(JANUARI!J9+FEBRUARI!J9+MARET!J9+APRIL!J9+MEI!J9+JUNI!J9+JULI!J9+AGUSTUS!J9+SEPTEMBER!J9+OKTOBER!J9+NOVEMBER!J9+DESEMBER!J9)</f>
        <v>482</v>
      </c>
      <c r="K9" s="16">
        <f>SUM(JANUARI!K9+FEBRUARI!K9+MARET!K9+APRIL!K9+MEI!K9+JUNI!K9+JULI!K9+AGUSTUS!K9+SEPTEMBER!K9+OKTOBER!K9+NOVEMBER!K9+DESEMBER!K9)</f>
        <v>1610</v>
      </c>
      <c r="L9" s="16">
        <f>SUM(JANUARI!L9+FEBRUARI!L9+MARET!L9+APRIL!L9+MEI!L9+JUNI!L9+JULI!L9+AGUSTUS!L9+SEPTEMBER!L9+OKTOBER!L9+NOVEMBER!L9+DESEMBER!L9)</f>
        <v>2092</v>
      </c>
      <c r="M9" s="16">
        <f>SUM(JANUARI!M9+FEBRUARI!M9+MARET!M9+APRIL!M9+MEI!M9+JUNI!M9+JULI!M9+AGUSTUS!M9+SEPTEMBER!M9+OKTOBER!M9+NOVEMBER!M9+DESEMBER!M9)</f>
        <v>267</v>
      </c>
      <c r="N9" s="16">
        <f>SUM(JANUARI!N9+FEBRUARI!N9+MARET!N9+APRIL!N9+MEI!N9+JUNI!N9+JULI!N9+AGUSTUS!N9+SEPTEMBER!N9+OKTOBER!N9+NOVEMBER!N9+DESEMBER!N9)</f>
        <v>909</v>
      </c>
      <c r="O9" s="16">
        <f>SUM(JANUARI!O9+FEBRUARI!O9+MARET!O9+APRIL!O9+MEI!O9+JUNI!O9+JULI!O9+AGUSTUS!O9+SEPTEMBER!O9+OKTOBER!O9+NOVEMBER!O9+DESEMBER!O9)</f>
        <v>1176</v>
      </c>
      <c r="P9" s="16">
        <f>SUM(JANUARI!P9+FEBRUARI!P9+MARET!P9+APRIL!P9+MEI!P9+JUNI!P9+JULI!P9+AGUSTUS!P9+SEPTEMBER!P9+OKTOBER!P9+NOVEMBER!P9+DESEMBER!P9)</f>
        <v>243</v>
      </c>
      <c r="Q9" s="16">
        <f>SUM(JANUARI!Q9+FEBRUARI!Q9+MARET!Q9+APRIL!Q9+MEI!Q9+JUNI!Q9+JULI!Q9+AGUSTUS!Q9+SEPTEMBER!Q9+OKTOBER!Q9+NOVEMBER!Q9+DESEMBER!Q9)</f>
        <v>637</v>
      </c>
      <c r="R9" s="16">
        <f>SUM(JANUARI!R9+FEBRUARI!R9+MARET!R9+APRIL!R9+MEI!R9+JUNI!R9+JULI!R9+AGUSTUS!R9+SEPTEMBER!R9+OKTOBER!R9+NOVEMBER!R9+DESEMBER!R9)</f>
        <v>880</v>
      </c>
      <c r="S9" s="16">
        <f>SUM(JANUARI!S9+FEBRUARI!S9+MARET!S9+APRIL!S9+MEI!S9+JUNI!S9+JULI!S9+AGUSTUS!S9+SEPTEMBER!S9+OKTOBER!S9+NOVEMBER!S9+DESEMBER!S9)</f>
        <v>199</v>
      </c>
      <c r="T9" s="16">
        <f>SUM(JANUARI!T9+FEBRUARI!T9+MARET!T9+APRIL!T9+MEI!T9+JUNI!T9+JULI!T9+AGUSTUS!T9+SEPTEMBER!T9+OKTOBER!T9+NOVEMBER!T9+DESEMBER!T9)</f>
        <v>434</v>
      </c>
      <c r="U9" s="16">
        <f>SUM(JANUARI!U9+FEBRUARI!U9+MARET!U9+APRIL!U9+MEI!U9+JUNI!U9+JULI!U9+AGUSTUS!U9+SEPTEMBER!U9+OKTOBER!U9+NOVEMBER!U9+DESEMBER!U9)</f>
        <v>633</v>
      </c>
    </row>
    <row r="10">
      <c r="A10" s="19"/>
      <c r="B10" s="20" t="s">
        <v>16</v>
      </c>
      <c r="C10" s="21" t="s">
        <v>17</v>
      </c>
      <c r="D10" s="23">
        <f>SUM(JANUARI!D10+FEBRUARI!D10+MARET!D10+APRIL!D10+MEI!D10+JUNI!D10+JULI!D10+AGUSTUS!D10+SEPTEMBER!D10+OKTOBER!D10+NOVEMBER!D10+DESEMBER!D10)</f>
        <v>176</v>
      </c>
      <c r="E10" s="23">
        <f>SUM(JANUARI!E10+FEBRUARI!E10+MARET!E10+APRIL!E10+MEI!E10+JUNI!E10+JULI!E10+AGUSTUS!E10+SEPTEMBER!E10+OKTOBER!E10+NOVEMBER!E10+DESEMBER!E10)</f>
        <v>438</v>
      </c>
      <c r="F10" s="16">
        <f>SUM(JANUARI!F10+FEBRUARI!F10+MARET!F10+APRIL!F10+MEI!F10+JUNI!F10+JULI!F10+AGUSTUS!F10+SEPTEMBER!F10+OKTOBER!F10+NOVEMBER!F10+DESEMBER!F10)</f>
        <v>614</v>
      </c>
      <c r="G10" s="23">
        <f>SUM(JANUARI!G10+FEBRUARI!G10+MARET!G10+APRIL!G10+MEI!G10+JUNI!G10+JULI!G10+AGUSTUS!G10+SEPTEMBER!G10+OKTOBER!G10+NOVEMBER!G10+DESEMBER!G10)</f>
        <v>386</v>
      </c>
      <c r="H10" s="23">
        <f>SUM(JANUARI!H10+FEBRUARI!H10+MARET!H10+APRIL!H10+MEI!H10+JUNI!H10+JULI!H10+AGUSTUS!H10+SEPTEMBER!H10+OKTOBER!H10+NOVEMBER!H10+DESEMBER!H10)</f>
        <v>573</v>
      </c>
      <c r="I10" s="16">
        <f>SUM(JANUARI!I10+FEBRUARI!I10+MARET!I10+APRIL!I10+MEI!I10+JUNI!I10+JULI!I10+AGUSTUS!I10+SEPTEMBER!I10+OKTOBER!I10+NOVEMBER!I10+DESEMBER!I10)</f>
        <v>959</v>
      </c>
      <c r="J10" s="23">
        <f>SUM(JANUARI!J10+FEBRUARI!J10+MARET!J10+APRIL!J10+MEI!J10+JUNI!J10+JULI!J10+AGUSTUS!J10+SEPTEMBER!J10+OKTOBER!J10+NOVEMBER!J10+DESEMBER!J10)</f>
        <v>478</v>
      </c>
      <c r="K10" s="23">
        <f>SUM(JANUARI!K10+FEBRUARI!K10+MARET!K10+APRIL!K10+MEI!K10+JUNI!K10+JULI!K10+AGUSTUS!K10+SEPTEMBER!K10+OKTOBER!K10+NOVEMBER!K10+DESEMBER!K10)</f>
        <v>952</v>
      </c>
      <c r="L10" s="16">
        <f>SUM(JANUARI!L10+FEBRUARI!L10+MARET!L10+APRIL!L10+MEI!L10+JUNI!L10+JULI!L10+AGUSTUS!L10+SEPTEMBER!L10+OKTOBER!L10+NOVEMBER!L10+DESEMBER!L10)</f>
        <v>1430</v>
      </c>
      <c r="M10" s="23">
        <f>SUM(JANUARI!M10+FEBRUARI!M10+MARET!M10+APRIL!M10+MEI!M10+JUNI!M10+JULI!M10+AGUSTUS!M10+SEPTEMBER!M10+OKTOBER!M10+NOVEMBER!M10+DESEMBER!M10)</f>
        <v>188</v>
      </c>
      <c r="N10" s="23">
        <f>SUM(JANUARI!N10+FEBRUARI!N10+MARET!N10+APRIL!N10+MEI!N10+JUNI!N10+JULI!N10+AGUSTUS!N10+SEPTEMBER!N10+OKTOBER!N10+NOVEMBER!N10+DESEMBER!N10)</f>
        <v>407</v>
      </c>
      <c r="O10" s="16">
        <f>SUM(JANUARI!O10+FEBRUARI!O10+MARET!O10+APRIL!O10+MEI!O10+JUNI!O10+JULI!O10+AGUSTUS!O10+SEPTEMBER!O10+OKTOBER!O10+NOVEMBER!O10+DESEMBER!O10)</f>
        <v>595</v>
      </c>
      <c r="P10" s="23">
        <f>SUM(JANUARI!P10+FEBRUARI!P10+MARET!P10+APRIL!P10+MEI!P10+JUNI!P10+JULI!P10+AGUSTUS!P10+SEPTEMBER!P10+OKTOBER!P10+NOVEMBER!P10+DESEMBER!P10)</f>
        <v>223</v>
      </c>
      <c r="Q10" s="23">
        <f>SUM(JANUARI!Q10+FEBRUARI!Q10+MARET!Q10+APRIL!Q10+MEI!Q10+JUNI!Q10+JULI!Q10+AGUSTUS!Q10+SEPTEMBER!Q10+OKTOBER!Q10+NOVEMBER!Q10+DESEMBER!Q10)</f>
        <v>376</v>
      </c>
      <c r="R10" s="16">
        <f>SUM(JANUARI!R10+FEBRUARI!R10+MARET!R10+APRIL!R10+MEI!R10+JUNI!R10+JULI!R10+AGUSTUS!R10+SEPTEMBER!R10+OKTOBER!R10+NOVEMBER!R10+DESEMBER!R10)</f>
        <v>599</v>
      </c>
      <c r="S10" s="23">
        <f>SUM(JANUARI!S10+FEBRUARI!S10+MARET!S10+APRIL!S10+MEI!S10+JUNI!S10+JULI!S10+AGUSTUS!S10+SEPTEMBER!S10+OKTOBER!S10+NOVEMBER!S10+DESEMBER!S10)</f>
        <v>198</v>
      </c>
      <c r="T10" s="23">
        <f>SUM(JANUARI!T10+FEBRUARI!T10+MARET!T10+APRIL!T10+MEI!T10+JUNI!T10+JULI!T10+AGUSTUS!T10+SEPTEMBER!T10+OKTOBER!T10+NOVEMBER!T10+DESEMBER!T10)</f>
        <v>271</v>
      </c>
      <c r="U10" s="16">
        <f>SUM(JANUARI!U10+FEBRUARI!U10+MARET!U10+APRIL!U10+MEI!U10+JUNI!U10+JULI!U10+AGUSTUS!U10+SEPTEMBER!U10+OKTOBER!U10+NOVEMBER!U10+DESEMBER!U10)</f>
        <v>469</v>
      </c>
    </row>
    <row r="11">
      <c r="A11" s="19"/>
      <c r="B11" s="20" t="s">
        <v>19</v>
      </c>
      <c r="C11" s="21" t="s">
        <v>20</v>
      </c>
      <c r="D11" s="23">
        <f>SUM(JANUARI!D11+FEBRUARI!D11+MARET!D11+APRIL!D11+MEI!D11+JUNI!D11+JULI!D11+AGUSTUS!D11+SEPTEMBER!D11+OKTOBER!D11+NOVEMBER!D11+DESEMBER!D11)</f>
        <v>16</v>
      </c>
      <c r="E11" s="23">
        <f>SUM(JANUARI!E11+FEBRUARI!E11+MARET!E11+APRIL!E11+MEI!E11+JUNI!E11+JULI!E11+AGUSTUS!E11+SEPTEMBER!E11+OKTOBER!E11+NOVEMBER!E11+DESEMBER!E11)</f>
        <v>296</v>
      </c>
      <c r="F11" s="16">
        <f>SUM(JANUARI!F11+FEBRUARI!F11+MARET!F11+APRIL!F11+MEI!F11+JUNI!F11+JULI!F11+AGUSTUS!F11+SEPTEMBER!F11+OKTOBER!F11+NOVEMBER!F11+DESEMBER!F11)</f>
        <v>312</v>
      </c>
      <c r="G11" s="23">
        <f>SUM(JANUARI!G11+FEBRUARI!G11+MARET!G11+APRIL!G11+MEI!G11+JUNI!G11+JULI!G11+AGUSTUS!G11+SEPTEMBER!G11+OKTOBER!G11+NOVEMBER!G11+DESEMBER!G11)</f>
        <v>0</v>
      </c>
      <c r="H11" s="23">
        <f>SUM(JANUARI!H11+FEBRUARI!H11+MARET!H11+APRIL!H11+MEI!H11+JUNI!H11+JULI!H11+AGUSTUS!H11+SEPTEMBER!H11+OKTOBER!H11+NOVEMBER!H11+DESEMBER!H11)</f>
        <v>262</v>
      </c>
      <c r="I11" s="16">
        <f>SUM(JANUARI!I11+FEBRUARI!I11+MARET!I11+APRIL!I11+MEI!I11+JUNI!I11+JULI!I11+AGUSTUS!I11+SEPTEMBER!I11+OKTOBER!I11+NOVEMBER!I11+DESEMBER!I11)</f>
        <v>262</v>
      </c>
      <c r="J11" s="23">
        <f>SUM(JANUARI!J11+FEBRUARI!J11+MARET!J11+APRIL!J11+MEI!J11+JUNI!J11+JULI!J11+AGUSTUS!J11+SEPTEMBER!J11+OKTOBER!J11+NOVEMBER!J11+DESEMBER!J11)</f>
        <v>0</v>
      </c>
      <c r="K11" s="23">
        <f>SUM(JANUARI!K11+FEBRUARI!K11+MARET!K11+APRIL!K11+MEI!K11+JUNI!K11+JULI!K11+AGUSTUS!K11+SEPTEMBER!K11+OKTOBER!K11+NOVEMBER!K11+DESEMBER!K11)</f>
        <v>635</v>
      </c>
      <c r="L11" s="16">
        <f>SUM(JANUARI!L11+FEBRUARI!L11+MARET!L11+APRIL!L11+MEI!L11+JUNI!L11+JULI!L11+AGUSTUS!L11+SEPTEMBER!L11+OKTOBER!L11+NOVEMBER!L11+DESEMBER!L11)</f>
        <v>635</v>
      </c>
      <c r="M11" s="23">
        <f>SUM(JANUARI!M11+FEBRUARI!M11+MARET!M11+APRIL!M11+MEI!M11+JUNI!M11+JULI!M11+AGUSTUS!M11+SEPTEMBER!M11+OKTOBER!M11+NOVEMBER!M11+DESEMBER!M11)</f>
        <v>0</v>
      </c>
      <c r="N11" s="23">
        <f>SUM(JANUARI!N11+FEBRUARI!N11+MARET!N11+APRIL!N11+MEI!N11+JUNI!N11+JULI!N11+AGUSTUS!N11+SEPTEMBER!N11+OKTOBER!N11+NOVEMBER!N11+DESEMBER!N11)</f>
        <v>205</v>
      </c>
      <c r="O11" s="16">
        <f>SUM(JANUARI!O11+FEBRUARI!O11+MARET!O11+APRIL!O11+MEI!O11+JUNI!O11+JULI!O11+AGUSTUS!O11+SEPTEMBER!O11+OKTOBER!O11+NOVEMBER!O11+DESEMBER!O11)</f>
        <v>205</v>
      </c>
      <c r="P11" s="23">
        <f>SUM(JANUARI!P11+FEBRUARI!P11+MARET!P11+APRIL!P11+MEI!P11+JUNI!P11+JULI!P11+AGUSTUS!P11+SEPTEMBER!P11+OKTOBER!P11+NOVEMBER!P11+DESEMBER!P11)</f>
        <v>0</v>
      </c>
      <c r="Q11" s="23">
        <f>SUM(JANUARI!Q11+FEBRUARI!Q11+MARET!Q11+APRIL!Q11+MEI!Q11+JUNI!Q11+JULI!Q11+AGUSTUS!Q11+SEPTEMBER!Q11+OKTOBER!Q11+NOVEMBER!Q11+DESEMBER!Q11)</f>
        <v>209</v>
      </c>
      <c r="R11" s="16">
        <f>SUM(JANUARI!R11+FEBRUARI!R11+MARET!R11+APRIL!R11+MEI!R11+JUNI!R11+JULI!R11+AGUSTUS!R11+SEPTEMBER!R11+OKTOBER!R11+NOVEMBER!R11+DESEMBER!R11)</f>
        <v>209</v>
      </c>
      <c r="S11" s="23">
        <f>SUM(JANUARI!S11+FEBRUARI!S11+MARET!S11+APRIL!S11+MEI!S11+JUNI!S11+JULI!S11+AGUSTUS!S11+SEPTEMBER!S11+OKTOBER!S11+NOVEMBER!S11+DESEMBER!S11)</f>
        <v>0</v>
      </c>
      <c r="T11" s="23">
        <f>SUM(JANUARI!T11+FEBRUARI!T11+MARET!T11+APRIL!T11+MEI!T11+JUNI!T11+JULI!T11+AGUSTUS!T11+SEPTEMBER!T11+OKTOBER!T11+NOVEMBER!T11+DESEMBER!T11)</f>
        <v>162</v>
      </c>
      <c r="U11" s="16">
        <f>SUM(JANUARI!U11+FEBRUARI!U11+MARET!U11+APRIL!U11+MEI!U11+JUNI!U11+JULI!U11+AGUSTUS!U11+SEPTEMBER!U11+OKTOBER!U11+NOVEMBER!U11+DESEMBER!U11)</f>
        <v>162</v>
      </c>
    </row>
    <row r="12">
      <c r="A12" s="19"/>
      <c r="B12" s="20" t="s">
        <v>22</v>
      </c>
      <c r="C12" s="21" t="s">
        <v>23</v>
      </c>
      <c r="D12" s="23">
        <f>SUM(JANUARI!D12+FEBRUARI!D12+MARET!D12+APRIL!D12+MEI!D12+JUNI!D12+JULI!D12+AGUSTUS!D12+SEPTEMBER!D12+OKTOBER!D12+NOVEMBER!D12+DESEMBER!D12)</f>
        <v>0</v>
      </c>
      <c r="E12" s="23">
        <f>SUM(JANUARI!E12+FEBRUARI!E12+MARET!E12+APRIL!E12+MEI!E12+JUNI!E12+JULI!E12+AGUSTUS!E12+SEPTEMBER!E12+OKTOBER!E12+NOVEMBER!E12+DESEMBER!E12)</f>
        <v>0</v>
      </c>
      <c r="F12" s="16">
        <f>SUM(JANUARI!F12+FEBRUARI!F12+MARET!F12+APRIL!F12+MEI!F12+JUNI!F12+JULI!F12+AGUSTUS!F12+SEPTEMBER!F12+OKTOBER!F12+NOVEMBER!F12+DESEMBER!F12)</f>
        <v>0</v>
      </c>
      <c r="G12" s="23">
        <f>SUM(JANUARI!G12+FEBRUARI!G12+MARET!G12+APRIL!G12+MEI!G12+JUNI!G12+JULI!G12+AGUSTUS!G12+SEPTEMBER!G12+OKTOBER!G12+NOVEMBER!G12+DESEMBER!G12)</f>
        <v>0</v>
      </c>
      <c r="H12" s="23">
        <f>SUM(JANUARI!H12+FEBRUARI!H12+MARET!H12+APRIL!H12+MEI!H12+JUNI!H12+JULI!H12+AGUSTUS!H12+SEPTEMBER!H12+OKTOBER!H12+NOVEMBER!H12+DESEMBER!H12)</f>
        <v>0</v>
      </c>
      <c r="I12" s="16">
        <f>SUM(JANUARI!I12+FEBRUARI!I12+MARET!I12+APRIL!I12+MEI!I12+JUNI!I12+JULI!I12+AGUSTUS!I12+SEPTEMBER!I12+OKTOBER!I12+NOVEMBER!I12+DESEMBER!I12)</f>
        <v>0</v>
      </c>
      <c r="J12" s="23">
        <f>SUM(JANUARI!J12+FEBRUARI!J12+MARET!J12+APRIL!J12+MEI!J12+JUNI!J12+JULI!J12+AGUSTUS!J12+SEPTEMBER!J12+OKTOBER!J12+NOVEMBER!J12+DESEMBER!J12)</f>
        <v>0</v>
      </c>
      <c r="K12" s="23">
        <f>SUM(JANUARI!K12+FEBRUARI!K12+MARET!K12+APRIL!K12+MEI!K12+JUNI!K12+JULI!K12+AGUSTUS!K12+SEPTEMBER!K12+OKTOBER!K12+NOVEMBER!K12+DESEMBER!K12)</f>
        <v>0</v>
      </c>
      <c r="L12" s="16">
        <f>SUM(JANUARI!L12+FEBRUARI!L12+MARET!L12+APRIL!L12+MEI!L12+JUNI!L12+JULI!L12+AGUSTUS!L12+SEPTEMBER!L12+OKTOBER!L12+NOVEMBER!L12+DESEMBER!L12)</f>
        <v>0</v>
      </c>
      <c r="M12" s="23">
        <f>SUM(JANUARI!M12+FEBRUARI!M12+MARET!M12+APRIL!M12+MEI!M12+JUNI!M12+JULI!M12+AGUSTUS!M12+SEPTEMBER!M12+OKTOBER!M12+NOVEMBER!M12+DESEMBER!M12)</f>
        <v>1</v>
      </c>
      <c r="N12" s="23">
        <f>SUM(JANUARI!N12+FEBRUARI!N12+MARET!N12+APRIL!N12+MEI!N12+JUNI!N12+JULI!N12+AGUSTUS!N12+SEPTEMBER!N12+OKTOBER!N12+NOVEMBER!N12+DESEMBER!N12)</f>
        <v>1</v>
      </c>
      <c r="O12" s="16">
        <f>SUM(JANUARI!O12+FEBRUARI!O12+MARET!O12+APRIL!O12+MEI!O12+JUNI!O12+JULI!O12+AGUSTUS!O12+SEPTEMBER!O12+OKTOBER!O12+NOVEMBER!O12+DESEMBER!O12)</f>
        <v>2</v>
      </c>
      <c r="P12" s="23">
        <f>SUM(JANUARI!P12+FEBRUARI!P12+MARET!P12+APRIL!P12+MEI!P12+JUNI!P12+JULI!P12+AGUSTUS!P12+SEPTEMBER!P12+OKTOBER!P12+NOVEMBER!P12+DESEMBER!P12)</f>
        <v>4</v>
      </c>
      <c r="Q12" s="23">
        <f>SUM(JANUARI!Q12+FEBRUARI!Q12+MARET!Q12+APRIL!Q12+MEI!Q12+JUNI!Q12+JULI!Q12+AGUSTUS!Q12+SEPTEMBER!Q12+OKTOBER!Q12+NOVEMBER!Q12+DESEMBER!Q12)</f>
        <v>14</v>
      </c>
      <c r="R12" s="16">
        <f>SUM(JANUARI!R12+FEBRUARI!R12+MARET!R12+APRIL!R12+MEI!R12+JUNI!R12+JULI!R12+AGUSTUS!R12+SEPTEMBER!R12+OKTOBER!R12+NOVEMBER!R12+DESEMBER!R12)</f>
        <v>18</v>
      </c>
      <c r="S12" s="23">
        <f>SUM(JANUARI!S12+FEBRUARI!S12+MARET!S12+APRIL!S12+MEI!S12+JUNI!S12+JULI!S12+AGUSTUS!S12+SEPTEMBER!S12+OKTOBER!S12+NOVEMBER!S12+DESEMBER!S12)</f>
        <v>0</v>
      </c>
      <c r="T12" s="23">
        <f>SUM(JANUARI!T12+FEBRUARI!T12+MARET!T12+APRIL!T12+MEI!T12+JUNI!T12+JULI!T12+AGUSTUS!T12+SEPTEMBER!T12+OKTOBER!T12+NOVEMBER!T12+DESEMBER!T12)</f>
        <v>0</v>
      </c>
      <c r="U12" s="16">
        <f>SUM(JANUARI!U12+FEBRUARI!U12+MARET!U12+APRIL!U12+MEI!U12+JUNI!U12+JULI!U12+AGUSTUS!U12+SEPTEMBER!U12+OKTOBER!U12+NOVEMBER!U12+DESEMBER!U12)</f>
        <v>0</v>
      </c>
    </row>
    <row r="13">
      <c r="A13" s="19"/>
      <c r="B13" s="20" t="s">
        <v>25</v>
      </c>
      <c r="C13" s="21" t="s">
        <v>26</v>
      </c>
      <c r="D13" s="23">
        <f>SUM(JANUARI!D13+FEBRUARI!D13+MARET!D13+APRIL!D13+MEI!D13+JUNI!D13+JULI!D13+AGUSTUS!D13+SEPTEMBER!D13+OKTOBER!D13+NOVEMBER!D13+DESEMBER!D13)</f>
        <v>0</v>
      </c>
      <c r="E13" s="23">
        <f>SUM(JANUARI!E13+FEBRUARI!E13+MARET!E13+APRIL!E13+MEI!E13+JUNI!E13+JULI!E13+AGUSTUS!E13+SEPTEMBER!E13+OKTOBER!E13+NOVEMBER!E13+DESEMBER!E13)</f>
        <v>0</v>
      </c>
      <c r="F13" s="16">
        <f>SUM(JANUARI!F13+FEBRUARI!F13+MARET!F13+APRIL!F13+MEI!F13+JUNI!F13+JULI!F13+AGUSTUS!F13+SEPTEMBER!F13+OKTOBER!F13+NOVEMBER!F13+DESEMBER!F13)</f>
        <v>0</v>
      </c>
      <c r="G13" s="23">
        <f>SUM(JANUARI!G13+FEBRUARI!G13+MARET!G13+APRIL!G13+MEI!G13+JUNI!G13+JULI!G13+AGUSTUS!G13+SEPTEMBER!G13+OKTOBER!G13+NOVEMBER!G13+DESEMBER!G13)</f>
        <v>10</v>
      </c>
      <c r="H13" s="23">
        <f>SUM(JANUARI!H13+FEBRUARI!H13+MARET!H13+APRIL!H13+MEI!H13+JUNI!H13+JULI!H13+AGUSTUS!H13+SEPTEMBER!H13+OKTOBER!H13+NOVEMBER!H13+DESEMBER!H13)</f>
        <v>15</v>
      </c>
      <c r="I13" s="16">
        <f>SUM(JANUARI!I13+FEBRUARI!I13+MARET!I13+APRIL!I13+MEI!I13+JUNI!I13+JULI!I13+AGUSTUS!I13+SEPTEMBER!I13+OKTOBER!I13+NOVEMBER!I13+DESEMBER!I13)</f>
        <v>25</v>
      </c>
      <c r="J13" s="23">
        <f>SUM(JANUARI!J13+FEBRUARI!J13+MARET!J13+APRIL!J13+MEI!J13+JUNI!J13+JULI!J13+AGUSTUS!J13+SEPTEMBER!J13+OKTOBER!J13+NOVEMBER!J13+DESEMBER!J13)</f>
        <v>0</v>
      </c>
      <c r="K13" s="23">
        <f>SUM(JANUARI!K13+FEBRUARI!K13+MARET!K13+APRIL!K13+MEI!K13+JUNI!K13+JULI!K13+AGUSTUS!K13+SEPTEMBER!K13+OKTOBER!K13+NOVEMBER!K13+DESEMBER!K13)</f>
        <v>0</v>
      </c>
      <c r="L13" s="16">
        <f>SUM(JANUARI!L13+FEBRUARI!L13+MARET!L13+APRIL!L13+MEI!L13+JUNI!L13+JULI!L13+AGUSTUS!L13+SEPTEMBER!L13+OKTOBER!L13+NOVEMBER!L13+DESEMBER!L13)</f>
        <v>0</v>
      </c>
      <c r="M13" s="23">
        <f>SUM(JANUARI!M13+FEBRUARI!M13+MARET!M13+APRIL!M13+MEI!M13+JUNI!M13+JULI!M13+AGUSTUS!M13+SEPTEMBER!M13+OKTOBER!M13+NOVEMBER!M13+DESEMBER!M13)</f>
        <v>19</v>
      </c>
      <c r="N13" s="23">
        <f>SUM(JANUARI!N13+FEBRUARI!N13+MARET!N13+APRIL!N13+MEI!N13+JUNI!N13+JULI!N13+AGUSTUS!N13+SEPTEMBER!N13+OKTOBER!N13+NOVEMBER!N13+DESEMBER!N13)</f>
        <v>40</v>
      </c>
      <c r="O13" s="16">
        <f>SUM(JANUARI!O13+FEBRUARI!O13+MARET!O13+APRIL!O13+MEI!O13+JUNI!O13+JULI!O13+AGUSTUS!O13+SEPTEMBER!O13+OKTOBER!O13+NOVEMBER!O13+DESEMBER!O13)</f>
        <v>59</v>
      </c>
      <c r="P13" s="23">
        <f>SUM(JANUARI!P13+FEBRUARI!P13+MARET!P13+APRIL!P13+MEI!P13+JUNI!P13+JULI!P13+AGUSTUS!P13+SEPTEMBER!P13+OKTOBER!P13+NOVEMBER!P13+DESEMBER!P13)</f>
        <v>9</v>
      </c>
      <c r="Q13" s="23">
        <f>SUM(JANUARI!Q13+FEBRUARI!Q13+MARET!Q13+APRIL!Q13+MEI!Q13+JUNI!Q13+JULI!Q13+AGUSTUS!Q13+SEPTEMBER!Q13+OKTOBER!Q13+NOVEMBER!Q13+DESEMBER!Q13)</f>
        <v>9</v>
      </c>
      <c r="R13" s="16">
        <f>SUM(JANUARI!R13+FEBRUARI!R13+MARET!R13+APRIL!R13+MEI!R13+JUNI!R13+JULI!R13+AGUSTUS!R13+SEPTEMBER!R13+OKTOBER!R13+NOVEMBER!R13+DESEMBER!R13)</f>
        <v>18</v>
      </c>
      <c r="S13" s="23">
        <f>SUM(JANUARI!S13+FEBRUARI!S13+MARET!S13+APRIL!S13+MEI!S13+JUNI!S13+JULI!S13+AGUSTUS!S13+SEPTEMBER!S13+OKTOBER!S13+NOVEMBER!S13+DESEMBER!S13)</f>
        <v>0</v>
      </c>
      <c r="T13" s="23">
        <f>SUM(JANUARI!T13+FEBRUARI!T13+MARET!T13+APRIL!T13+MEI!T13+JUNI!T13+JULI!T13+AGUSTUS!T13+SEPTEMBER!T13+OKTOBER!T13+NOVEMBER!T13+DESEMBER!T13)</f>
        <v>0</v>
      </c>
      <c r="U13" s="16">
        <f>SUM(JANUARI!U13+FEBRUARI!U13+MARET!U13+APRIL!U13+MEI!U13+JUNI!U13+JULI!U13+AGUSTUS!U13+SEPTEMBER!U13+OKTOBER!U13+NOVEMBER!U13+DESEMBER!U13)</f>
        <v>0</v>
      </c>
    </row>
    <row r="14">
      <c r="A14" s="19"/>
      <c r="B14" s="20" t="s">
        <v>27</v>
      </c>
      <c r="C14" s="21" t="s">
        <v>28</v>
      </c>
      <c r="D14" s="23">
        <f>SUM(JANUARI!D14+FEBRUARI!D14+MARET!D14+APRIL!D14+MEI!D14+JUNI!D14+JULI!D14+AGUSTUS!D14+SEPTEMBER!D14+OKTOBER!D14+NOVEMBER!D14+DESEMBER!D14)</f>
        <v>0</v>
      </c>
      <c r="E14" s="23">
        <f>SUM(JANUARI!E14+FEBRUARI!E14+MARET!E14+APRIL!E14+MEI!E14+JUNI!E14+JULI!E14+AGUSTUS!E14+SEPTEMBER!E14+OKTOBER!E14+NOVEMBER!E14+DESEMBER!E14)</f>
        <v>0</v>
      </c>
      <c r="F14" s="16">
        <f>SUM(JANUARI!F14+FEBRUARI!F14+MARET!F14+APRIL!F14+MEI!F14+JUNI!F14+JULI!F14+AGUSTUS!F14+SEPTEMBER!F14+OKTOBER!F14+NOVEMBER!F14+DESEMBER!F14)</f>
        <v>0</v>
      </c>
      <c r="G14" s="23">
        <f>SUM(JANUARI!G14+FEBRUARI!G14+MARET!G14+APRIL!G14+MEI!G14+JUNI!G14+JULI!G14+AGUSTUS!G14+SEPTEMBER!G14+OKTOBER!G14+NOVEMBER!G14+DESEMBER!G14)</f>
        <v>12</v>
      </c>
      <c r="H14" s="23">
        <f>SUM(JANUARI!H14+FEBRUARI!H14+MARET!H14+APRIL!H14+MEI!H14+JUNI!H14+JULI!H14+AGUSTUS!H14+SEPTEMBER!H14+OKTOBER!H14+NOVEMBER!H14+DESEMBER!H14)</f>
        <v>15</v>
      </c>
      <c r="I14" s="16">
        <f>SUM(JANUARI!I14+FEBRUARI!I14+MARET!I14+APRIL!I14+MEI!I14+JUNI!I14+JULI!I14+AGUSTUS!I14+SEPTEMBER!I14+OKTOBER!I14+NOVEMBER!I14+DESEMBER!I14)</f>
        <v>27</v>
      </c>
      <c r="J14" s="23">
        <f>SUM(JANUARI!J14+FEBRUARI!J14+MARET!J14+APRIL!J14+MEI!J14+JUNI!J14+JULI!J14+AGUSTUS!J14+SEPTEMBER!J14+OKTOBER!J14+NOVEMBER!J14+DESEMBER!J14)</f>
        <v>2</v>
      </c>
      <c r="K14" s="23">
        <f>SUM(JANUARI!K14+FEBRUARI!K14+MARET!K14+APRIL!K14+MEI!K14+JUNI!K14+JULI!K14+AGUSTUS!K14+SEPTEMBER!K14+OKTOBER!K14+NOVEMBER!K14+DESEMBER!K14)</f>
        <v>4</v>
      </c>
      <c r="L14" s="16">
        <f>SUM(JANUARI!L14+FEBRUARI!L14+MARET!L14+APRIL!L14+MEI!L14+JUNI!L14+JULI!L14+AGUSTUS!L14+SEPTEMBER!L14+OKTOBER!L14+NOVEMBER!L14+DESEMBER!L14)</f>
        <v>6</v>
      </c>
      <c r="M14" s="23">
        <f>SUM(JANUARI!M14+FEBRUARI!M14+MARET!M14+APRIL!M14+MEI!M14+JUNI!M14+JULI!M14+AGUSTUS!M14+SEPTEMBER!M14+OKTOBER!M14+NOVEMBER!M14+DESEMBER!M14)</f>
        <v>6</v>
      </c>
      <c r="N14" s="23">
        <f>SUM(JANUARI!N14+FEBRUARI!N14+MARET!N14+APRIL!N14+MEI!N14+JUNI!N14+JULI!N14+AGUSTUS!N14+SEPTEMBER!N14+OKTOBER!N14+NOVEMBER!N14+DESEMBER!N14)</f>
        <v>11</v>
      </c>
      <c r="O14" s="16">
        <f>SUM(JANUARI!O14+FEBRUARI!O14+MARET!O14+APRIL!O14+MEI!O14+JUNI!O14+JULI!O14+AGUSTUS!O14+SEPTEMBER!O14+OKTOBER!O14+NOVEMBER!O14+DESEMBER!O14)</f>
        <v>17</v>
      </c>
      <c r="P14" s="23">
        <f>SUM(JANUARI!P14+FEBRUARI!P14+MARET!P14+APRIL!P14+MEI!P14+JUNI!P14+JULI!P14+AGUSTUS!P14+SEPTEMBER!P14+OKTOBER!P14+NOVEMBER!P14+DESEMBER!P14)</f>
        <v>0</v>
      </c>
      <c r="Q14" s="23">
        <f>SUM(JANUARI!Q14+FEBRUARI!Q14+MARET!Q14+APRIL!Q14+MEI!Q14+JUNI!Q14+JULI!Q14+AGUSTUS!Q14+SEPTEMBER!Q14+OKTOBER!Q14+NOVEMBER!Q14+DESEMBER!Q14)</f>
        <v>0</v>
      </c>
      <c r="R14" s="16">
        <f>SUM(JANUARI!R14+FEBRUARI!R14+MARET!R14+APRIL!R14+MEI!R14+JUNI!R14+JULI!R14+AGUSTUS!R14+SEPTEMBER!R14+OKTOBER!R14+NOVEMBER!R14+DESEMBER!R14)</f>
        <v>0</v>
      </c>
      <c r="S14" s="23">
        <f>SUM(JANUARI!S14+FEBRUARI!S14+MARET!S14+APRIL!S14+MEI!S14+JUNI!S14+JULI!S14+AGUSTUS!S14+SEPTEMBER!S14+OKTOBER!S14+NOVEMBER!S14+DESEMBER!S14)</f>
        <v>1</v>
      </c>
      <c r="T14" s="23">
        <f>SUM(JANUARI!T14+FEBRUARI!T14+MARET!T14+APRIL!T14+MEI!T14+JUNI!T14+JULI!T14+AGUSTUS!T14+SEPTEMBER!T14+OKTOBER!T14+NOVEMBER!T14+DESEMBER!T14)</f>
        <v>1</v>
      </c>
      <c r="U14" s="16">
        <f>SUM(JANUARI!U14+FEBRUARI!U14+MARET!U14+APRIL!U14+MEI!U14+JUNI!U14+JULI!U14+AGUSTUS!U14+SEPTEMBER!U14+OKTOBER!U14+NOVEMBER!U14+DESEMBER!U14)</f>
        <v>2</v>
      </c>
    </row>
    <row r="15">
      <c r="A15" s="19"/>
      <c r="B15" s="20" t="s">
        <v>29</v>
      </c>
      <c r="C15" s="21" t="s">
        <v>30</v>
      </c>
      <c r="D15" s="23">
        <f>SUM(JANUARI!D15+FEBRUARI!D15+MARET!D15+APRIL!D15+MEI!D15+JUNI!D15+JULI!D15+AGUSTUS!D15+SEPTEMBER!D15+OKTOBER!D15+NOVEMBER!D15+DESEMBER!D15)</f>
        <v>11</v>
      </c>
      <c r="E15" s="23">
        <f>SUM(JANUARI!E15+FEBRUARI!E15+MARET!E15+APRIL!E15+MEI!E15+JUNI!E15+JULI!E15+AGUSTUS!E15+SEPTEMBER!E15+OKTOBER!E15+NOVEMBER!E15+DESEMBER!E15)</f>
        <v>8</v>
      </c>
      <c r="F15" s="16">
        <f>SUM(JANUARI!F15+FEBRUARI!F15+MARET!F15+APRIL!F15+MEI!F15+JUNI!F15+JULI!F15+AGUSTUS!F15+SEPTEMBER!F15+OKTOBER!F15+NOVEMBER!F15+DESEMBER!F15)</f>
        <v>19</v>
      </c>
      <c r="G15" s="23">
        <f>SUM(JANUARI!G15+FEBRUARI!G15+MARET!G15+APRIL!G15+MEI!G15+JUNI!G15+JULI!G15+AGUSTUS!G15+SEPTEMBER!G15+OKTOBER!G15+NOVEMBER!G15+DESEMBER!G15)</f>
        <v>39</v>
      </c>
      <c r="H15" s="23">
        <f>SUM(JANUARI!H15+FEBRUARI!H15+MARET!H15+APRIL!H15+MEI!H15+JUNI!H15+JULI!H15+AGUSTUS!H15+SEPTEMBER!H15+OKTOBER!H15+NOVEMBER!H15+DESEMBER!H15)</f>
        <v>29</v>
      </c>
      <c r="I15" s="16">
        <f>SUM(JANUARI!I15+FEBRUARI!I15+MARET!I15+APRIL!I15+MEI!I15+JUNI!I15+JULI!I15+AGUSTUS!I15+SEPTEMBER!I15+OKTOBER!I15+NOVEMBER!I15+DESEMBER!I15)</f>
        <v>68</v>
      </c>
      <c r="J15" s="23">
        <f>SUM(JANUARI!J15+FEBRUARI!J15+MARET!J15+APRIL!J15+MEI!J15+JUNI!J15+JULI!J15+AGUSTUS!J15+SEPTEMBER!J15+OKTOBER!J15+NOVEMBER!J15+DESEMBER!J15)</f>
        <v>2</v>
      </c>
      <c r="K15" s="23">
        <f>SUM(JANUARI!K15+FEBRUARI!K15+MARET!K15+APRIL!K15+MEI!K15+JUNI!K15+JULI!K15+AGUSTUS!K15+SEPTEMBER!K15+OKTOBER!K15+NOVEMBER!K15+DESEMBER!K15)</f>
        <v>11</v>
      </c>
      <c r="L15" s="16">
        <f>SUM(JANUARI!L15+FEBRUARI!L15+MARET!L15+APRIL!L15+MEI!L15+JUNI!L15+JULI!L15+AGUSTUS!L15+SEPTEMBER!L15+OKTOBER!L15+NOVEMBER!L15+DESEMBER!L15)</f>
        <v>13</v>
      </c>
      <c r="M15" s="23">
        <f>SUM(JANUARI!M15+FEBRUARI!M15+MARET!M15+APRIL!M15+MEI!M15+JUNI!M15+JULI!M15+AGUSTUS!M15+SEPTEMBER!M15+OKTOBER!M15+NOVEMBER!M15+DESEMBER!M15)</f>
        <v>1</v>
      </c>
      <c r="N15" s="23">
        <f>SUM(JANUARI!N15+FEBRUARI!N15+MARET!N15+APRIL!N15+MEI!N15+JUNI!N15+JULI!N15+AGUSTUS!N15+SEPTEMBER!N15+OKTOBER!N15+NOVEMBER!N15+DESEMBER!N15)</f>
        <v>0</v>
      </c>
      <c r="O15" s="16">
        <f>SUM(JANUARI!O15+FEBRUARI!O15+MARET!O15+APRIL!O15+MEI!O15+JUNI!O15+JULI!O15+AGUSTUS!O15+SEPTEMBER!O15+OKTOBER!O15+NOVEMBER!O15+DESEMBER!O15)</f>
        <v>1</v>
      </c>
      <c r="P15" s="23">
        <f>SUM(JANUARI!P15+FEBRUARI!P15+MARET!P15+APRIL!P15+MEI!P15+JUNI!P15+JULI!P15+AGUSTUS!P15+SEPTEMBER!P15+OKTOBER!P15+NOVEMBER!P15+DESEMBER!P15)</f>
        <v>7</v>
      </c>
      <c r="Q15" s="23">
        <f>SUM(JANUARI!Q15+FEBRUARI!Q15+MARET!Q15+APRIL!Q15+MEI!Q15+JUNI!Q15+JULI!Q15+AGUSTUS!Q15+SEPTEMBER!Q15+OKTOBER!Q15+NOVEMBER!Q15+DESEMBER!Q15)</f>
        <v>6</v>
      </c>
      <c r="R15" s="16">
        <f>SUM(JANUARI!R15+FEBRUARI!R15+MARET!R15+APRIL!R15+MEI!R15+JUNI!R15+JULI!R15+AGUSTUS!R15+SEPTEMBER!R15+OKTOBER!R15+NOVEMBER!R15+DESEMBER!R15)</f>
        <v>13</v>
      </c>
      <c r="S15" s="23">
        <f>SUM(JANUARI!S15+FEBRUARI!S15+MARET!S15+APRIL!S15+MEI!S15+JUNI!S15+JULI!S15+AGUSTUS!S15+SEPTEMBER!S15+OKTOBER!S15+NOVEMBER!S15+DESEMBER!S15)</f>
        <v>0</v>
      </c>
      <c r="T15" s="23">
        <f>SUM(JANUARI!T15+FEBRUARI!T15+MARET!T15+APRIL!T15+MEI!T15+JUNI!T15+JULI!T15+AGUSTUS!T15+SEPTEMBER!T15+OKTOBER!T15+NOVEMBER!T15+DESEMBER!T15)</f>
        <v>0</v>
      </c>
      <c r="U15" s="16">
        <f>SUM(JANUARI!U15+FEBRUARI!U15+MARET!U15+APRIL!U15+MEI!U15+JUNI!U15+JULI!U15+AGUSTUS!U15+SEPTEMBER!U15+OKTOBER!U15+NOVEMBER!U15+DESEMBER!U15)</f>
        <v>0</v>
      </c>
    </row>
    <row r="16">
      <c r="A16" s="19"/>
      <c r="B16" s="20" t="s">
        <v>31</v>
      </c>
      <c r="C16" s="21" t="s">
        <v>32</v>
      </c>
      <c r="D16" s="23">
        <f>SUM(JANUARI!D16+FEBRUARI!D16+MARET!D16+APRIL!D16+MEI!D16+JUNI!D16+JULI!D16+AGUSTUS!D16+SEPTEMBER!D16+OKTOBER!D16+NOVEMBER!D16+DESEMBER!D16)</f>
        <v>0</v>
      </c>
      <c r="E16" s="23">
        <f>SUM(JANUARI!E16+FEBRUARI!E16+MARET!E16+APRIL!E16+MEI!E16+JUNI!E16+JULI!E16+AGUSTUS!E16+SEPTEMBER!E16+OKTOBER!E16+NOVEMBER!E16+DESEMBER!E16)</f>
        <v>0</v>
      </c>
      <c r="F16" s="16">
        <f>SUM(JANUARI!F16+FEBRUARI!F16+MARET!F16+APRIL!F16+MEI!F16+JUNI!F16+JULI!F16+AGUSTUS!F16+SEPTEMBER!F16+OKTOBER!F16+NOVEMBER!F16+DESEMBER!F16)</f>
        <v>0</v>
      </c>
      <c r="G16" s="23">
        <f>SUM(JANUARI!G16+FEBRUARI!G16+MARET!G16+APRIL!G16+MEI!G16+JUNI!G16+JULI!G16+AGUSTUS!G16+SEPTEMBER!G16+OKTOBER!G16+NOVEMBER!G16+DESEMBER!G16)</f>
        <v>2</v>
      </c>
      <c r="H16" s="23">
        <f>SUM(JANUARI!H16+FEBRUARI!H16+MARET!H16+APRIL!H16+MEI!H16+JUNI!H16+JULI!H16+AGUSTUS!H16+SEPTEMBER!H16+OKTOBER!H16+NOVEMBER!H16+DESEMBER!H16)</f>
        <v>29</v>
      </c>
      <c r="I16" s="16">
        <f>SUM(JANUARI!I16+FEBRUARI!I16+MARET!I16+APRIL!I16+MEI!I16+JUNI!I16+JULI!I16+AGUSTUS!I16+SEPTEMBER!I16+OKTOBER!I16+NOVEMBER!I16+DESEMBER!I16)</f>
        <v>31</v>
      </c>
      <c r="J16" s="23">
        <f>SUM(JANUARI!J16+FEBRUARI!J16+MARET!J16+APRIL!J16+MEI!J16+JUNI!J16+JULI!J16+AGUSTUS!J16+SEPTEMBER!J16+OKTOBER!J16+NOVEMBER!J16+DESEMBER!J16)</f>
        <v>0</v>
      </c>
      <c r="K16" s="23">
        <f>SUM(JANUARI!K16+FEBRUARI!K16+MARET!K16+APRIL!K16+MEI!K16+JUNI!K16+JULI!K16+AGUSTUS!K16+SEPTEMBER!K16+OKTOBER!K16+NOVEMBER!K16+DESEMBER!K16)</f>
        <v>8</v>
      </c>
      <c r="L16" s="16">
        <f>SUM(JANUARI!L16+FEBRUARI!L16+MARET!L16+APRIL!L16+MEI!L16+JUNI!L16+JULI!L16+AGUSTUS!L16+SEPTEMBER!L16+OKTOBER!L16+NOVEMBER!L16+DESEMBER!L16)</f>
        <v>8</v>
      </c>
      <c r="M16" s="23">
        <f>SUM(JANUARI!M16+FEBRUARI!M16+MARET!M16+APRIL!M16+MEI!M16+JUNI!M16+JULI!M16+AGUSTUS!M16+SEPTEMBER!M16+OKTOBER!M16+NOVEMBER!M16+DESEMBER!M16)</f>
        <v>15</v>
      </c>
      <c r="N16" s="23">
        <f>SUM(JANUARI!N16+FEBRUARI!N16+MARET!N16+APRIL!N16+MEI!N16+JUNI!N16+JULI!N16+AGUSTUS!N16+SEPTEMBER!N16+OKTOBER!N16+NOVEMBER!N16+DESEMBER!N16)</f>
        <v>117</v>
      </c>
      <c r="O16" s="16">
        <f>SUM(JANUARI!O16+FEBRUARI!O16+MARET!O16+APRIL!O16+MEI!O16+JUNI!O16+JULI!O16+AGUSTUS!O16+SEPTEMBER!O16+OKTOBER!O16+NOVEMBER!O16+DESEMBER!O16)</f>
        <v>132</v>
      </c>
      <c r="P16" s="23">
        <f>SUM(JANUARI!P16+FEBRUARI!P16+MARET!P16+APRIL!P16+MEI!P16+JUNI!P16+JULI!P16+AGUSTUS!P16+SEPTEMBER!P16+OKTOBER!P16+NOVEMBER!P16+DESEMBER!P16)</f>
        <v>0</v>
      </c>
      <c r="Q16" s="23">
        <f>SUM(JANUARI!Q16+FEBRUARI!Q16+MARET!Q16+APRIL!Q16+MEI!Q16+JUNI!Q16+JULI!Q16+AGUSTUS!Q16+SEPTEMBER!Q16+OKTOBER!Q16+NOVEMBER!Q16+DESEMBER!Q16)</f>
        <v>23</v>
      </c>
      <c r="R16" s="16">
        <f>SUM(JANUARI!R16+FEBRUARI!R16+MARET!R16+APRIL!R16+MEI!R16+JUNI!R16+JULI!R16+AGUSTUS!R16+SEPTEMBER!R16+OKTOBER!R16+NOVEMBER!R16+DESEMBER!R16)</f>
        <v>23</v>
      </c>
      <c r="S16" s="23">
        <f>SUM(JANUARI!S16+FEBRUARI!S16+MARET!S16+APRIL!S16+MEI!S16+JUNI!S16+JULI!S16+AGUSTUS!S16+SEPTEMBER!S16+OKTOBER!S16+NOVEMBER!S16+DESEMBER!S16)</f>
        <v>0</v>
      </c>
      <c r="T16" s="23">
        <f>SUM(JANUARI!T16+FEBRUARI!T16+MARET!T16+APRIL!T16+MEI!T16+JUNI!T16+JULI!T16+AGUSTUS!T16+SEPTEMBER!T16+OKTOBER!T16+NOVEMBER!T16+DESEMBER!T16)</f>
        <v>0</v>
      </c>
      <c r="U16" s="16">
        <f>SUM(JANUARI!U16+FEBRUARI!U16+MARET!U16+APRIL!U16+MEI!U16+JUNI!U16+JULI!U16+AGUSTUS!U16+SEPTEMBER!U16+OKTOBER!U16+NOVEMBER!U16+DESEMBER!U16)</f>
        <v>0</v>
      </c>
    </row>
    <row r="17">
      <c r="A17" s="10"/>
      <c r="B17" s="20" t="s">
        <v>33</v>
      </c>
      <c r="C17" s="21" t="s">
        <v>34</v>
      </c>
      <c r="D17" s="23">
        <f>SUM(JANUARI!D17+FEBRUARI!D17+MARET!D17+APRIL!D17+MEI!D17+JUNI!D17+JULI!D17+AGUSTUS!D17+SEPTEMBER!D17+OKTOBER!D17+NOVEMBER!D17+DESEMBER!D17)</f>
        <v>40</v>
      </c>
      <c r="E17" s="23">
        <f>SUM(JANUARI!E17+FEBRUARI!E17+MARET!E17+APRIL!E17+MEI!E17+JUNI!E17+JULI!E17+AGUSTUS!E17+SEPTEMBER!E17+OKTOBER!E17+NOVEMBER!E17+DESEMBER!E17)</f>
        <v>145</v>
      </c>
      <c r="F17" s="16">
        <f>SUM(JANUARI!F17+FEBRUARI!F17+MARET!F17+APRIL!F17+MEI!F17+JUNI!F17+JULI!F17+AGUSTUS!F17+SEPTEMBER!F17+OKTOBER!F17+NOVEMBER!F17+DESEMBER!F17)</f>
        <v>185</v>
      </c>
      <c r="G17" s="23">
        <f>SUM(JANUARI!G17+FEBRUARI!G17+MARET!G17+APRIL!G17+MEI!G17+JUNI!G17+JULI!G17+AGUSTUS!G17+SEPTEMBER!G17+OKTOBER!G17+NOVEMBER!G17+DESEMBER!G17)</f>
        <v>0</v>
      </c>
      <c r="H17" s="23">
        <f>SUM(JANUARI!H17+FEBRUARI!H17+MARET!H17+APRIL!H17+MEI!H17+JUNI!H17+JULI!H17+AGUSTUS!H17+SEPTEMBER!H17+OKTOBER!H17+NOVEMBER!H17+DESEMBER!H17)</f>
        <v>0</v>
      </c>
      <c r="I17" s="16">
        <f>SUM(JANUARI!I17+FEBRUARI!I17+MARET!I17+APRIL!I17+MEI!I17+JUNI!I17+JULI!I17+AGUSTUS!I17+SEPTEMBER!I17+OKTOBER!I17+NOVEMBER!I17+DESEMBER!I17)</f>
        <v>0</v>
      </c>
      <c r="J17" s="23">
        <f>SUM(JANUARI!J17+FEBRUARI!J17+MARET!J17+APRIL!J17+MEI!J17+JUNI!J17+JULI!J17+AGUSTUS!J17+SEPTEMBER!J17+OKTOBER!J17+NOVEMBER!J17+DESEMBER!J17)</f>
        <v>0</v>
      </c>
      <c r="K17" s="23">
        <f>SUM(JANUARI!K17+FEBRUARI!K17+MARET!K17+APRIL!K17+MEI!K17+JUNI!K17+JULI!K17+AGUSTUS!K17+SEPTEMBER!K17+OKTOBER!K17+NOVEMBER!K17+DESEMBER!K17)</f>
        <v>0</v>
      </c>
      <c r="L17" s="16">
        <f>SUM(JANUARI!L17+FEBRUARI!L17+MARET!L17+APRIL!L17+MEI!L17+JUNI!L17+JULI!L17+AGUSTUS!L17+SEPTEMBER!L17+OKTOBER!L17+NOVEMBER!L17+DESEMBER!L17)</f>
        <v>0</v>
      </c>
      <c r="M17" s="23">
        <f>SUM(JANUARI!M17+FEBRUARI!M17+MARET!M17+APRIL!M17+MEI!M17+JUNI!M17+JULI!M17+AGUSTUS!M17+SEPTEMBER!M17+OKTOBER!M17+NOVEMBER!M17+DESEMBER!M17)</f>
        <v>37</v>
      </c>
      <c r="N17" s="23">
        <f>SUM(JANUARI!N17+FEBRUARI!N17+MARET!N17+APRIL!N17+MEI!N17+JUNI!N17+JULI!N17+AGUSTUS!N17+SEPTEMBER!N17+OKTOBER!N17+NOVEMBER!N17+DESEMBER!N17)</f>
        <v>128</v>
      </c>
      <c r="O17" s="16">
        <f>SUM(JANUARI!O17+FEBRUARI!O17+MARET!O17+APRIL!O17+MEI!O17+JUNI!O17+JULI!O17+AGUSTUS!O17+SEPTEMBER!O17+OKTOBER!O17+NOVEMBER!O17+DESEMBER!O17)</f>
        <v>165</v>
      </c>
      <c r="P17" s="23">
        <f>SUM(JANUARI!P17+FEBRUARI!P17+MARET!P17+APRIL!P17+MEI!P17+JUNI!P17+JULI!P17+AGUSTUS!P17+SEPTEMBER!P17+OKTOBER!P17+NOVEMBER!P17+DESEMBER!P17)</f>
        <v>0</v>
      </c>
      <c r="Q17" s="23">
        <f>SUM(JANUARI!Q17+FEBRUARI!Q17+MARET!Q17+APRIL!Q17+MEI!Q17+JUNI!Q17+JULI!Q17+AGUSTUS!Q17+SEPTEMBER!Q17+OKTOBER!Q17+NOVEMBER!Q17+DESEMBER!Q17)</f>
        <v>0</v>
      </c>
      <c r="R17" s="16">
        <f>SUM(JANUARI!R17+FEBRUARI!R17+MARET!R17+APRIL!R17+MEI!R17+JUNI!R17+JULI!R17+AGUSTUS!R17+SEPTEMBER!R17+OKTOBER!R17+NOVEMBER!R17+DESEMBER!R17)</f>
        <v>0</v>
      </c>
      <c r="S17" s="23">
        <f>SUM(JANUARI!S17+FEBRUARI!S17+MARET!S17+APRIL!S17+MEI!S17+JUNI!S17+JULI!S17+AGUSTUS!S17+SEPTEMBER!S17+OKTOBER!S17+NOVEMBER!S17+DESEMBER!S17)</f>
        <v>0</v>
      </c>
      <c r="T17" s="23">
        <f>SUM(JANUARI!T17+FEBRUARI!T17+MARET!T17+APRIL!T17+MEI!T17+JUNI!T17+JULI!T17+AGUSTUS!T17+SEPTEMBER!T17+OKTOBER!T17+NOVEMBER!T17+DESEMBER!T17)</f>
        <v>0</v>
      </c>
      <c r="U17" s="16">
        <f>SUM(JANUARI!U17+FEBRUARI!U17+MARET!U17+APRIL!U17+MEI!U17+JUNI!U17+JULI!U17+AGUSTUS!U17+SEPTEMBER!U17+OKTOBER!U17+NOVEMBER!U17+DESEMBER!U17)</f>
        <v>0</v>
      </c>
    </row>
    <row r="18">
      <c r="A18" s="17">
        <v>3.0</v>
      </c>
      <c r="B18" s="18" t="s">
        <v>35</v>
      </c>
      <c r="C18" s="9"/>
      <c r="D18" s="16">
        <f>SUM(JANUARI!D18+FEBRUARI!D18+MARET!D18+APRIL!D18+MEI!D18+JUNI!D18+JULI!D18+AGUSTUS!D18+SEPTEMBER!D18+OKTOBER!D18+NOVEMBER!D18+DESEMBER!D18)</f>
        <v>1293</v>
      </c>
      <c r="E18" s="16">
        <f>SUM(JANUARI!E18+FEBRUARI!E18+MARET!E18+APRIL!E18+MEI!E18+JUNI!E18+JULI!E18+AGUSTUS!E18+SEPTEMBER!E18+OKTOBER!E18+NOVEMBER!E18+DESEMBER!E18)</f>
        <v>3893</v>
      </c>
      <c r="F18" s="16">
        <f>SUM(JANUARI!F18+FEBRUARI!F18+MARET!F18+APRIL!F18+MEI!F18+JUNI!F18+JULI!F18+AGUSTUS!F18+SEPTEMBER!F18+OKTOBER!F18+NOVEMBER!F18+DESEMBER!F18)</f>
        <v>5186</v>
      </c>
      <c r="G18" s="16">
        <f>SUM(JANUARI!G18+FEBRUARI!G18+MARET!G18+APRIL!G18+MEI!G18+JUNI!G18+JULI!G18+AGUSTUS!G18+SEPTEMBER!G18+OKTOBER!G18+NOVEMBER!G18+DESEMBER!G18)</f>
        <v>810</v>
      </c>
      <c r="H18" s="16">
        <f>SUM(JANUARI!H18+FEBRUARI!H18+MARET!H18+APRIL!H18+MEI!H18+JUNI!H18+JULI!H18+AGUSTUS!H18+SEPTEMBER!H18+OKTOBER!H18+NOVEMBER!H18+DESEMBER!H18)</f>
        <v>2670</v>
      </c>
      <c r="I18" s="16">
        <f>SUM(JANUARI!I18+FEBRUARI!I18+MARET!I18+APRIL!I18+MEI!I18+JUNI!I18+JULI!I18+AGUSTUS!I18+SEPTEMBER!I18+OKTOBER!I18+NOVEMBER!I18+DESEMBER!I18)</f>
        <v>3480</v>
      </c>
      <c r="J18" s="16">
        <f>SUM(JANUARI!J18+FEBRUARI!J18+MARET!J18+APRIL!J18+MEI!J18+JUNI!J18+JULI!J18+AGUSTUS!J18+SEPTEMBER!J18+OKTOBER!J18+NOVEMBER!J18+DESEMBER!J18)</f>
        <v>531</v>
      </c>
      <c r="K18" s="16">
        <f>SUM(JANUARI!K18+FEBRUARI!K18+MARET!K18+APRIL!K18+MEI!K18+JUNI!K18+JULI!K18+AGUSTUS!K18+SEPTEMBER!K18+OKTOBER!K18+NOVEMBER!K18+DESEMBER!K18)</f>
        <v>1978</v>
      </c>
      <c r="L18" s="16">
        <f>SUM(JANUARI!L18+FEBRUARI!L18+MARET!L18+APRIL!L18+MEI!L18+JUNI!L18+JULI!L18+AGUSTUS!L18+SEPTEMBER!L18+OKTOBER!L18+NOVEMBER!L18+DESEMBER!L18)</f>
        <v>2509</v>
      </c>
      <c r="M18" s="16">
        <f>SUM(JANUARI!M18+FEBRUARI!M18+MARET!M18+APRIL!M18+MEI!M18+JUNI!M18+JULI!M18+AGUSTUS!M18+SEPTEMBER!M18+OKTOBER!M18+NOVEMBER!M18+DESEMBER!M18)</f>
        <v>530</v>
      </c>
      <c r="N18" s="16">
        <f>SUM(JANUARI!N18+FEBRUARI!N18+MARET!N18+APRIL!N18+MEI!N18+JUNI!N18+JULI!N18+AGUSTUS!N18+SEPTEMBER!N18+OKTOBER!N18+NOVEMBER!N18+DESEMBER!N18)</f>
        <v>2047</v>
      </c>
      <c r="O18" s="16">
        <f>SUM(JANUARI!O18+FEBRUARI!O18+MARET!O18+APRIL!O18+MEI!O18+JUNI!O18+JULI!O18+AGUSTUS!O18+SEPTEMBER!O18+OKTOBER!O18+NOVEMBER!O18+DESEMBER!O18)</f>
        <v>2577</v>
      </c>
      <c r="P18" s="16">
        <f>SUM(JANUARI!P18+FEBRUARI!P18+MARET!P18+APRIL!P18+MEI!P18+JUNI!P18+JULI!P18+AGUSTUS!P18+SEPTEMBER!P18+OKTOBER!P18+NOVEMBER!P18+DESEMBER!P18)</f>
        <v>682</v>
      </c>
      <c r="Q18" s="16">
        <f>SUM(JANUARI!Q18+FEBRUARI!Q18+MARET!Q18+APRIL!Q18+MEI!Q18+JUNI!Q18+JULI!Q18+AGUSTUS!Q18+SEPTEMBER!Q18+OKTOBER!Q18+NOVEMBER!Q18+DESEMBER!Q18)</f>
        <v>2242</v>
      </c>
      <c r="R18" s="16">
        <f>SUM(JANUARI!R18+FEBRUARI!R18+MARET!R18+APRIL!R18+MEI!R18+JUNI!R18+JULI!R18+AGUSTUS!R18+SEPTEMBER!R18+OKTOBER!R18+NOVEMBER!R18+DESEMBER!R18)</f>
        <v>2924</v>
      </c>
      <c r="S18" s="16">
        <f>SUM(JANUARI!S18+FEBRUARI!S18+MARET!S18+APRIL!S18+MEI!S18+JUNI!S18+JULI!S18+AGUSTUS!S18+SEPTEMBER!S18+OKTOBER!S18+NOVEMBER!S18+DESEMBER!S18)</f>
        <v>285</v>
      </c>
      <c r="T18" s="16">
        <f>SUM(JANUARI!T18+FEBRUARI!T18+MARET!T18+APRIL!T18+MEI!T18+JUNI!T18+JULI!T18+AGUSTUS!T18+SEPTEMBER!T18+OKTOBER!T18+NOVEMBER!T18+DESEMBER!T18)</f>
        <v>666</v>
      </c>
      <c r="U18" s="16">
        <f>SUM(JANUARI!U18+FEBRUARI!U18+MARET!U18+APRIL!U18+MEI!U18+JUNI!U18+JULI!U18+AGUSTUS!U18+SEPTEMBER!U18+OKTOBER!U18+NOVEMBER!U18+DESEMBER!U18)</f>
        <v>951</v>
      </c>
    </row>
    <row r="19">
      <c r="A19" s="19"/>
      <c r="B19" s="20" t="s">
        <v>16</v>
      </c>
      <c r="C19" s="21" t="s">
        <v>36</v>
      </c>
      <c r="D19" s="23">
        <f>SUM(JANUARI!D19+FEBRUARI!D19+MARET!D19+APRIL!D19+MEI!D19+JUNI!D19+JULI!D19+AGUSTUS!D19+SEPTEMBER!D19+OKTOBER!D19+NOVEMBER!D19+DESEMBER!D19)</f>
        <v>17</v>
      </c>
      <c r="E19" s="23">
        <f>SUM(JANUARI!E19+FEBRUARI!E19+MARET!E19+APRIL!E19+MEI!E19+JUNI!E19+JULI!E19+AGUSTUS!E19+SEPTEMBER!E19+OKTOBER!E19+NOVEMBER!E19+DESEMBER!E19)</f>
        <v>85</v>
      </c>
      <c r="F19" s="16">
        <f>SUM(JANUARI!F19+FEBRUARI!F19+MARET!F19+APRIL!F19+MEI!F19+JUNI!F19+JULI!F19+AGUSTUS!F19+SEPTEMBER!F19+OKTOBER!F19+NOVEMBER!F19+DESEMBER!F19)</f>
        <v>102</v>
      </c>
      <c r="G19" s="23">
        <f>SUM(JANUARI!G19+FEBRUARI!G19+MARET!G19+APRIL!G19+MEI!G19+JUNI!G19+JULI!G19+AGUSTUS!G19+SEPTEMBER!G19+OKTOBER!G19+NOVEMBER!G19+DESEMBER!G19)</f>
        <v>22</v>
      </c>
      <c r="H19" s="23">
        <f>SUM(JANUARI!H19+FEBRUARI!H19+MARET!H19+APRIL!H19+MEI!H19+JUNI!H19+JULI!H19+AGUSTUS!H19+SEPTEMBER!H19+OKTOBER!H19+NOVEMBER!H19+DESEMBER!H19)</f>
        <v>150</v>
      </c>
      <c r="I19" s="16">
        <f>SUM(JANUARI!I19+FEBRUARI!I19+MARET!I19+APRIL!I19+MEI!I19+JUNI!I19+JULI!I19+AGUSTUS!I19+SEPTEMBER!I19+OKTOBER!I19+NOVEMBER!I19+DESEMBER!I19)</f>
        <v>172</v>
      </c>
      <c r="J19" s="23">
        <f>SUM(JANUARI!J19+FEBRUARI!J19+MARET!J19+APRIL!J19+MEI!J19+JUNI!J19+JULI!J19+AGUSTUS!J19+SEPTEMBER!J19+OKTOBER!J19+NOVEMBER!J19+DESEMBER!J19)</f>
        <v>16</v>
      </c>
      <c r="K19" s="23">
        <f>SUM(JANUARI!K19+FEBRUARI!K19+MARET!K19+APRIL!K19+MEI!K19+JUNI!K19+JULI!K19+AGUSTUS!K19+SEPTEMBER!K19+OKTOBER!K19+NOVEMBER!K19+DESEMBER!K19)</f>
        <v>74</v>
      </c>
      <c r="L19" s="16">
        <f>SUM(JANUARI!L19+FEBRUARI!L19+MARET!L19+APRIL!L19+MEI!L19+JUNI!L19+JULI!L19+AGUSTUS!L19+SEPTEMBER!L19+OKTOBER!L19+NOVEMBER!L19+DESEMBER!L19)</f>
        <v>90</v>
      </c>
      <c r="M19" s="23">
        <f>SUM(JANUARI!M19+FEBRUARI!M19+MARET!M19+APRIL!M19+MEI!M19+JUNI!M19+JULI!M19+AGUSTUS!M19+SEPTEMBER!M19+OKTOBER!M19+NOVEMBER!M19+DESEMBER!M19)</f>
        <v>9</v>
      </c>
      <c r="N19" s="23">
        <f>SUM(JANUARI!N19+FEBRUARI!N19+MARET!N19+APRIL!N19+MEI!N19+JUNI!N19+JULI!N19+AGUSTUS!N19+SEPTEMBER!N19+OKTOBER!N19+NOVEMBER!N19+DESEMBER!N19)</f>
        <v>35</v>
      </c>
      <c r="O19" s="16">
        <f>SUM(JANUARI!O19+FEBRUARI!O19+MARET!O19+APRIL!O19+MEI!O19+JUNI!O19+JULI!O19+AGUSTUS!O19+SEPTEMBER!O19+OKTOBER!O19+NOVEMBER!O19+DESEMBER!O19)</f>
        <v>44</v>
      </c>
      <c r="P19" s="23">
        <f>SUM(JANUARI!P19+FEBRUARI!P19+MARET!P19+APRIL!P19+MEI!P19+JUNI!P19+JULI!P19+AGUSTUS!P19+SEPTEMBER!P19+OKTOBER!P19+NOVEMBER!P19+DESEMBER!P19)</f>
        <v>7</v>
      </c>
      <c r="Q19" s="23">
        <f>SUM(JANUARI!Q19+FEBRUARI!Q19+MARET!Q19+APRIL!Q19+MEI!Q19+JUNI!Q19+JULI!Q19+AGUSTUS!Q19+SEPTEMBER!Q19+OKTOBER!Q19+NOVEMBER!Q19+DESEMBER!Q19)</f>
        <v>110</v>
      </c>
      <c r="R19" s="16">
        <f>SUM(JANUARI!R19+FEBRUARI!R19+MARET!R19+APRIL!R19+MEI!R19+JUNI!R19+JULI!R19+AGUSTUS!R19+SEPTEMBER!R19+OKTOBER!R19+NOVEMBER!R19+DESEMBER!R19)</f>
        <v>117</v>
      </c>
      <c r="S19" s="23">
        <f>SUM(JANUARI!S19+FEBRUARI!S19+MARET!S19+APRIL!S19+MEI!S19+JUNI!S19+JULI!S19+AGUSTUS!S19+SEPTEMBER!S19+OKTOBER!S19+NOVEMBER!S19+DESEMBER!S19)</f>
        <v>0</v>
      </c>
      <c r="T19" s="23">
        <f>SUM(JANUARI!T19+FEBRUARI!T19+MARET!T19+APRIL!T19+MEI!T19+JUNI!T19+JULI!T19+AGUSTUS!T19+SEPTEMBER!T19+OKTOBER!T19+NOVEMBER!T19+DESEMBER!T19)</f>
        <v>39</v>
      </c>
      <c r="U19" s="16">
        <f>SUM(JANUARI!U19+FEBRUARI!U19+MARET!U19+APRIL!U19+MEI!U19+JUNI!U19+JULI!U19+AGUSTUS!U19+SEPTEMBER!U19+OKTOBER!U19+NOVEMBER!U19+DESEMBER!U19)</f>
        <v>39</v>
      </c>
    </row>
    <row r="20">
      <c r="A20" s="19"/>
      <c r="B20" s="20" t="s">
        <v>19</v>
      </c>
      <c r="C20" s="21" t="s">
        <v>37</v>
      </c>
      <c r="D20" s="23">
        <f>SUM(JANUARI!D20+FEBRUARI!D20+MARET!D20+APRIL!D20+MEI!D20+JUNI!D20+JULI!D20+AGUSTUS!D20+SEPTEMBER!D20+OKTOBER!D20+NOVEMBER!D20+DESEMBER!D20)</f>
        <v>16</v>
      </c>
      <c r="E20" s="23">
        <f>SUM(JANUARI!E20+FEBRUARI!E20+MARET!E20+APRIL!E20+MEI!E20+JUNI!E20+JULI!E20+AGUSTUS!E20+SEPTEMBER!E20+OKTOBER!E20+NOVEMBER!E20+DESEMBER!E20)</f>
        <v>315</v>
      </c>
      <c r="F20" s="16">
        <f>SUM(JANUARI!F20+FEBRUARI!F20+MARET!F20+APRIL!F20+MEI!F20+JUNI!F20+JULI!F20+AGUSTUS!F20+SEPTEMBER!F20+OKTOBER!F20+NOVEMBER!F20+DESEMBER!F20)</f>
        <v>331</v>
      </c>
      <c r="G20" s="23">
        <f>SUM(JANUARI!G20+FEBRUARI!G20+MARET!G20+APRIL!G20+MEI!G20+JUNI!G20+JULI!G20+AGUSTUS!G20+SEPTEMBER!G20+OKTOBER!G20+NOVEMBER!G20+DESEMBER!G20)</f>
        <v>3</v>
      </c>
      <c r="H20" s="23">
        <f>SUM(JANUARI!H20+FEBRUARI!H20+MARET!H20+APRIL!H20+MEI!H20+JUNI!H20+JULI!H20+AGUSTUS!H20+SEPTEMBER!H20+OKTOBER!H20+NOVEMBER!H20+DESEMBER!H20)</f>
        <v>274</v>
      </c>
      <c r="I20" s="16">
        <f>SUM(JANUARI!I20+FEBRUARI!I20+MARET!I20+APRIL!I20+MEI!I20+JUNI!I20+JULI!I20+AGUSTUS!I20+SEPTEMBER!I20+OKTOBER!I20+NOVEMBER!I20+DESEMBER!I20)</f>
        <v>277</v>
      </c>
      <c r="J20" s="23">
        <f>SUM(JANUARI!J20+FEBRUARI!J20+MARET!J20+APRIL!J20+MEI!J20+JUNI!J20+JULI!J20+AGUSTUS!J20+SEPTEMBER!J20+OKTOBER!J20+NOVEMBER!J20+DESEMBER!J20)</f>
        <v>15</v>
      </c>
      <c r="K20" s="23">
        <f>SUM(JANUARI!K20+FEBRUARI!K20+MARET!K20+APRIL!K20+MEI!K20+JUNI!K20+JULI!K20+AGUSTUS!K20+SEPTEMBER!K20+OKTOBER!K20+NOVEMBER!K20+DESEMBER!K20)</f>
        <v>194</v>
      </c>
      <c r="L20" s="16">
        <f>SUM(JANUARI!L20+FEBRUARI!L20+MARET!L20+APRIL!L20+MEI!L20+JUNI!L20+JULI!L20+AGUSTUS!L20+SEPTEMBER!L20+OKTOBER!L20+NOVEMBER!L20+DESEMBER!L20)</f>
        <v>209</v>
      </c>
      <c r="M20" s="23">
        <f>SUM(JANUARI!M20+FEBRUARI!M20+MARET!M20+APRIL!M20+MEI!M20+JUNI!M20+JULI!M20+AGUSTUS!M20+SEPTEMBER!M20+OKTOBER!M20+NOVEMBER!M20+DESEMBER!M20)</f>
        <v>36</v>
      </c>
      <c r="N20" s="23">
        <f>SUM(JANUARI!N20+FEBRUARI!N20+MARET!N20+APRIL!N20+MEI!N20+JUNI!N20+JULI!N20+AGUSTUS!N20+SEPTEMBER!N20+OKTOBER!N20+NOVEMBER!N20+DESEMBER!N20)</f>
        <v>355</v>
      </c>
      <c r="O20" s="16">
        <f>SUM(JANUARI!O20+FEBRUARI!O20+MARET!O20+APRIL!O20+MEI!O20+JUNI!O20+JULI!O20+AGUSTUS!O20+SEPTEMBER!O20+OKTOBER!O20+NOVEMBER!O20+DESEMBER!O20)</f>
        <v>391</v>
      </c>
      <c r="P20" s="23">
        <f>SUM(JANUARI!P20+FEBRUARI!P20+MARET!P20+APRIL!P20+MEI!P20+JUNI!P20+JULI!P20+AGUSTUS!P20+SEPTEMBER!P20+OKTOBER!P20+NOVEMBER!P20+DESEMBER!P20)</f>
        <v>49</v>
      </c>
      <c r="Q20" s="23">
        <f>SUM(JANUARI!Q20+FEBRUARI!Q20+MARET!Q20+APRIL!Q20+MEI!Q20+JUNI!Q20+JULI!Q20+AGUSTUS!Q20+SEPTEMBER!Q20+OKTOBER!Q20+NOVEMBER!Q20+DESEMBER!Q20)</f>
        <v>258</v>
      </c>
      <c r="R20" s="16">
        <f>SUM(JANUARI!R20+FEBRUARI!R20+MARET!R20+APRIL!R20+MEI!R20+JUNI!R20+JULI!R20+AGUSTUS!R20+SEPTEMBER!R20+OKTOBER!R20+NOVEMBER!R20+DESEMBER!R20)</f>
        <v>307</v>
      </c>
      <c r="S20" s="23">
        <f>SUM(JANUARI!S20+FEBRUARI!S20+MARET!S20+APRIL!S20+MEI!S20+JUNI!S20+JULI!S20+AGUSTUS!S20+SEPTEMBER!S20+OKTOBER!S20+NOVEMBER!S20+DESEMBER!S20)</f>
        <v>5</v>
      </c>
      <c r="T20" s="23">
        <f>SUM(JANUARI!T20+FEBRUARI!T20+MARET!T20+APRIL!T20+MEI!T20+JUNI!T20+JULI!T20+AGUSTUS!T20+SEPTEMBER!T20+OKTOBER!T20+NOVEMBER!T20+DESEMBER!T20)</f>
        <v>76</v>
      </c>
      <c r="U20" s="16">
        <f>SUM(JANUARI!U20+FEBRUARI!U20+MARET!U20+APRIL!U20+MEI!U20+JUNI!U20+JULI!U20+AGUSTUS!U20+SEPTEMBER!U20+OKTOBER!U20+NOVEMBER!U20+DESEMBER!U20)</f>
        <v>81</v>
      </c>
    </row>
    <row r="21">
      <c r="A21" s="19"/>
      <c r="B21" s="20" t="s">
        <v>22</v>
      </c>
      <c r="C21" s="21" t="s">
        <v>38</v>
      </c>
      <c r="D21" s="23">
        <f>SUM(JANUARI!D21+FEBRUARI!D21+MARET!D21+APRIL!D21+MEI!D21+JUNI!D21+JULI!D21+AGUSTUS!D21+SEPTEMBER!D21+OKTOBER!D21+NOVEMBER!D21+DESEMBER!D21)</f>
        <v>6</v>
      </c>
      <c r="E21" s="23">
        <f>SUM(JANUARI!E21+FEBRUARI!E21+MARET!E21+APRIL!E21+MEI!E21+JUNI!E21+JULI!E21+AGUSTUS!E21+SEPTEMBER!E21+OKTOBER!E21+NOVEMBER!E21+DESEMBER!E21)</f>
        <v>32</v>
      </c>
      <c r="F21" s="16">
        <f>SUM(JANUARI!F21+FEBRUARI!F21+MARET!F21+APRIL!F21+MEI!F21+JUNI!F21+JULI!F21+AGUSTUS!F21+SEPTEMBER!F21+OKTOBER!F21+NOVEMBER!F21+DESEMBER!F21)</f>
        <v>38</v>
      </c>
      <c r="G21" s="23">
        <f>SUM(JANUARI!G21+FEBRUARI!G21+MARET!G21+APRIL!G21+MEI!G21+JUNI!G21+JULI!G21+AGUSTUS!G21+SEPTEMBER!G21+OKTOBER!G21+NOVEMBER!G21+DESEMBER!G21)</f>
        <v>0</v>
      </c>
      <c r="H21" s="23">
        <f>SUM(JANUARI!H21+FEBRUARI!H21+MARET!H21+APRIL!H21+MEI!H21+JUNI!H21+JULI!H21+AGUSTUS!H21+SEPTEMBER!H21+OKTOBER!H21+NOVEMBER!H21+DESEMBER!H21)</f>
        <v>0</v>
      </c>
      <c r="I21" s="16">
        <f>SUM(JANUARI!I21+FEBRUARI!I21+MARET!I21+APRIL!I21+MEI!I21+JUNI!I21+JULI!I21+AGUSTUS!I21+SEPTEMBER!I21+OKTOBER!I21+NOVEMBER!I21+DESEMBER!I21)</f>
        <v>0</v>
      </c>
      <c r="J21" s="23">
        <f>SUM(JANUARI!J21+FEBRUARI!J21+MARET!J21+APRIL!J21+MEI!J21+JUNI!J21+JULI!J21+AGUSTUS!J21+SEPTEMBER!J21+OKTOBER!J21+NOVEMBER!J21+DESEMBER!J21)</f>
        <v>0</v>
      </c>
      <c r="K21" s="23">
        <f>SUM(JANUARI!K21+FEBRUARI!K21+MARET!K21+APRIL!K21+MEI!K21+JUNI!K21+JULI!K21+AGUSTUS!K21+SEPTEMBER!K21+OKTOBER!K21+NOVEMBER!K21+DESEMBER!K21)</f>
        <v>0</v>
      </c>
      <c r="L21" s="16">
        <f>SUM(JANUARI!L21+FEBRUARI!L21+MARET!L21+APRIL!L21+MEI!L21+JUNI!L21+JULI!L21+AGUSTUS!L21+SEPTEMBER!L21+OKTOBER!L21+NOVEMBER!L21+DESEMBER!L21)</f>
        <v>0</v>
      </c>
      <c r="M21" s="23">
        <f>SUM(JANUARI!M21+FEBRUARI!M21+MARET!M21+APRIL!M21+MEI!M21+JUNI!M21+JULI!M21+AGUSTUS!M21+SEPTEMBER!M21+OKTOBER!M21+NOVEMBER!M21+DESEMBER!M21)</f>
        <v>0</v>
      </c>
      <c r="N21" s="23">
        <f>SUM(JANUARI!N21+FEBRUARI!N21+MARET!N21+APRIL!N21+MEI!N21+JUNI!N21+JULI!N21+AGUSTUS!N21+SEPTEMBER!N21+OKTOBER!N21+NOVEMBER!N21+DESEMBER!N21)</f>
        <v>0</v>
      </c>
      <c r="O21" s="16">
        <f>SUM(JANUARI!O21+FEBRUARI!O21+MARET!O21+APRIL!O21+MEI!O21+JUNI!O21+JULI!O21+AGUSTUS!O21+SEPTEMBER!O21+OKTOBER!O21+NOVEMBER!O21+DESEMBER!O21)</f>
        <v>0</v>
      </c>
      <c r="P21" s="23">
        <f>SUM(JANUARI!P21+FEBRUARI!P21+MARET!P21+APRIL!P21+MEI!P21+JUNI!P21+JULI!P21+AGUSTUS!P21+SEPTEMBER!P21+OKTOBER!P21+NOVEMBER!P21+DESEMBER!P21)</f>
        <v>15</v>
      </c>
      <c r="Q21" s="23">
        <f>SUM(JANUARI!Q21+FEBRUARI!Q21+MARET!Q21+APRIL!Q21+MEI!Q21+JUNI!Q21+JULI!Q21+AGUSTUS!Q21+SEPTEMBER!Q21+OKTOBER!Q21+NOVEMBER!Q21+DESEMBER!Q21)</f>
        <v>16</v>
      </c>
      <c r="R21" s="16">
        <f>SUM(JANUARI!R21+FEBRUARI!R21+MARET!R21+APRIL!R21+MEI!R21+JUNI!R21+JULI!R21+AGUSTUS!R21+SEPTEMBER!R21+OKTOBER!R21+NOVEMBER!R21+DESEMBER!R21)</f>
        <v>31</v>
      </c>
      <c r="S21" s="23">
        <f>SUM(JANUARI!S21+FEBRUARI!S21+MARET!S21+APRIL!S21+MEI!S21+JUNI!S21+JULI!S21+AGUSTUS!S21+SEPTEMBER!S21+OKTOBER!S21+NOVEMBER!S21+DESEMBER!S21)</f>
        <v>0</v>
      </c>
      <c r="T21" s="23">
        <f>SUM(JANUARI!T21+FEBRUARI!T21+MARET!T21+APRIL!T21+MEI!T21+JUNI!T21+JULI!T21+AGUSTUS!T21+SEPTEMBER!T21+OKTOBER!T21+NOVEMBER!T21+DESEMBER!T21)</f>
        <v>2</v>
      </c>
      <c r="U21" s="16">
        <f>SUM(JANUARI!U21+FEBRUARI!U21+MARET!U21+APRIL!U21+MEI!U21+JUNI!U21+JULI!U21+AGUSTUS!U21+SEPTEMBER!U21+OKTOBER!U21+NOVEMBER!U21+DESEMBER!U21)</f>
        <v>2</v>
      </c>
    </row>
    <row r="22">
      <c r="A22" s="19"/>
      <c r="B22" s="20" t="s">
        <v>25</v>
      </c>
      <c r="C22" s="21" t="s">
        <v>39</v>
      </c>
      <c r="D22" s="23">
        <f>SUM(JANUARI!D22+FEBRUARI!D22+MARET!D22+APRIL!D22+MEI!D22+JUNI!D22+JULI!D22+AGUSTUS!D22+SEPTEMBER!D22+OKTOBER!D22+NOVEMBER!D22+DESEMBER!D22)</f>
        <v>6</v>
      </c>
      <c r="E22" s="23">
        <f>SUM(JANUARI!E22+FEBRUARI!E22+MARET!E22+APRIL!E22+MEI!E22+JUNI!E22+JULI!E22+AGUSTUS!E22+SEPTEMBER!E22+OKTOBER!E22+NOVEMBER!E22+DESEMBER!E22)</f>
        <v>32</v>
      </c>
      <c r="F22" s="16">
        <f>SUM(JANUARI!F22+FEBRUARI!F22+MARET!F22+APRIL!F22+MEI!F22+JUNI!F22+JULI!F22+AGUSTUS!F22+SEPTEMBER!F22+OKTOBER!F22+NOVEMBER!F22+DESEMBER!F22)</f>
        <v>38</v>
      </c>
      <c r="G22" s="23">
        <f>SUM(JANUARI!G22+FEBRUARI!G22+MARET!G22+APRIL!G22+MEI!G22+JUNI!G22+JULI!G22+AGUSTUS!G22+SEPTEMBER!G22+OKTOBER!G22+NOVEMBER!G22+DESEMBER!G22)</f>
        <v>0</v>
      </c>
      <c r="H22" s="23">
        <f>SUM(JANUARI!H22+FEBRUARI!H22+MARET!H22+APRIL!H22+MEI!H22+JUNI!H22+JULI!H22+AGUSTUS!H22+SEPTEMBER!H22+OKTOBER!H22+NOVEMBER!H22+DESEMBER!H22)</f>
        <v>0</v>
      </c>
      <c r="I22" s="16">
        <f>SUM(JANUARI!I22+FEBRUARI!I22+MARET!I22+APRIL!I22+MEI!I22+JUNI!I22+JULI!I22+AGUSTUS!I22+SEPTEMBER!I22+OKTOBER!I22+NOVEMBER!I22+DESEMBER!I22)</f>
        <v>0</v>
      </c>
      <c r="J22" s="23">
        <f>SUM(JANUARI!J22+FEBRUARI!J22+MARET!J22+APRIL!J22+MEI!J22+JUNI!J22+JULI!J22+AGUSTUS!J22+SEPTEMBER!J22+OKTOBER!J22+NOVEMBER!J22+DESEMBER!J22)</f>
        <v>0</v>
      </c>
      <c r="K22" s="23">
        <f>SUM(JANUARI!K22+FEBRUARI!K22+MARET!K22+APRIL!K22+MEI!K22+JUNI!K22+JULI!K22+AGUSTUS!K22+SEPTEMBER!K22+OKTOBER!K22+NOVEMBER!K22+DESEMBER!K22)</f>
        <v>0</v>
      </c>
      <c r="L22" s="16">
        <f>SUM(JANUARI!L22+FEBRUARI!L22+MARET!L22+APRIL!L22+MEI!L22+JUNI!L22+JULI!L22+AGUSTUS!L22+SEPTEMBER!L22+OKTOBER!L22+NOVEMBER!L22+DESEMBER!L22)</f>
        <v>0</v>
      </c>
      <c r="M22" s="23">
        <f>SUM(JANUARI!M22+FEBRUARI!M22+MARET!M22+APRIL!M22+MEI!M22+JUNI!M22+JULI!M22+AGUSTUS!M22+SEPTEMBER!M22+OKTOBER!M22+NOVEMBER!M22+DESEMBER!M22)</f>
        <v>0</v>
      </c>
      <c r="N22" s="23">
        <f>SUM(JANUARI!N22+FEBRUARI!N22+MARET!N22+APRIL!N22+MEI!N22+JUNI!N22+JULI!N22+AGUSTUS!N22+SEPTEMBER!N22+OKTOBER!N22+NOVEMBER!N22+DESEMBER!N22)</f>
        <v>0</v>
      </c>
      <c r="O22" s="16">
        <f>SUM(JANUARI!O22+FEBRUARI!O22+MARET!O22+APRIL!O22+MEI!O22+JUNI!O22+JULI!O22+AGUSTUS!O22+SEPTEMBER!O22+OKTOBER!O22+NOVEMBER!O22+DESEMBER!O22)</f>
        <v>0</v>
      </c>
      <c r="P22" s="23">
        <f>SUM(JANUARI!P22+FEBRUARI!P22+MARET!P22+APRIL!P22+MEI!P22+JUNI!P22+JULI!P22+AGUSTUS!P22+SEPTEMBER!P22+OKTOBER!P22+NOVEMBER!P22+DESEMBER!P22)</f>
        <v>15</v>
      </c>
      <c r="Q22" s="23">
        <f>SUM(JANUARI!Q22+FEBRUARI!Q22+MARET!Q22+APRIL!Q22+MEI!Q22+JUNI!Q22+JULI!Q22+AGUSTUS!Q22+SEPTEMBER!Q22+OKTOBER!Q22+NOVEMBER!Q22+DESEMBER!Q22)</f>
        <v>16</v>
      </c>
      <c r="R22" s="16">
        <f>SUM(JANUARI!R22+FEBRUARI!R22+MARET!R22+APRIL!R22+MEI!R22+JUNI!R22+JULI!R22+AGUSTUS!R22+SEPTEMBER!R22+OKTOBER!R22+NOVEMBER!R22+DESEMBER!R22)</f>
        <v>31</v>
      </c>
      <c r="S22" s="23">
        <f>SUM(JANUARI!S22+FEBRUARI!S22+MARET!S22+APRIL!S22+MEI!S22+JUNI!S22+JULI!S22+AGUSTUS!S22+SEPTEMBER!S22+OKTOBER!S22+NOVEMBER!S22+DESEMBER!S22)</f>
        <v>0</v>
      </c>
      <c r="T22" s="23">
        <f>SUM(JANUARI!T22+FEBRUARI!T22+MARET!T22+APRIL!T22+MEI!T22+JUNI!T22+JULI!T22+AGUSTUS!T22+SEPTEMBER!T22+OKTOBER!T22+NOVEMBER!T22+DESEMBER!T22)</f>
        <v>0</v>
      </c>
      <c r="U22" s="16">
        <f>SUM(JANUARI!U22+FEBRUARI!U22+MARET!U22+APRIL!U22+MEI!U22+JUNI!U22+JULI!U22+AGUSTUS!U22+SEPTEMBER!U22+OKTOBER!U22+NOVEMBER!U22+DESEMBER!U22)</f>
        <v>0</v>
      </c>
    </row>
    <row r="23">
      <c r="A23" s="19"/>
      <c r="B23" s="20" t="s">
        <v>27</v>
      </c>
      <c r="C23" s="21" t="s">
        <v>80</v>
      </c>
      <c r="D23" s="23">
        <f>SUM(JANUARI!D23+FEBRUARI!D23+MARET!D23+APRIL!D23+MEI!D23+JUNI!D23+JULI!D23+AGUSTUS!D23+SEPTEMBER!D23+OKTOBER!D23+NOVEMBER!D23+DESEMBER!D23)</f>
        <v>0</v>
      </c>
      <c r="E23" s="23">
        <f>SUM(JANUARI!E23+FEBRUARI!E23+MARET!E23+APRIL!E23+MEI!E23+JUNI!E23+JULI!E23+AGUSTUS!E23+SEPTEMBER!E23+OKTOBER!E23+NOVEMBER!E23+DESEMBER!E23)</f>
        <v>0</v>
      </c>
      <c r="F23" s="16">
        <f>SUM(JANUARI!F23+FEBRUARI!F23+MARET!F23+APRIL!F23+MEI!F23+JUNI!F23+JULI!F23+AGUSTUS!F23+SEPTEMBER!F23+OKTOBER!F23+NOVEMBER!F23+DESEMBER!F23)</f>
        <v>0</v>
      </c>
      <c r="G23" s="23">
        <f>SUM(JANUARI!G23+FEBRUARI!G23+MARET!G23+APRIL!G23+MEI!G23+JUNI!G23+JULI!G23+AGUSTUS!G23+SEPTEMBER!G23+OKTOBER!G23+NOVEMBER!G23+DESEMBER!G23)</f>
        <v>0</v>
      </c>
      <c r="H23" s="23">
        <f>SUM(JANUARI!H23+FEBRUARI!H23+MARET!H23+APRIL!H23+MEI!H23+JUNI!H23+JULI!H23+AGUSTUS!H23+SEPTEMBER!H23+OKTOBER!H23+NOVEMBER!H23+DESEMBER!H23)</f>
        <v>0</v>
      </c>
      <c r="I23" s="16">
        <f>SUM(JANUARI!I23+FEBRUARI!I23+MARET!I23+APRIL!I23+MEI!I23+JUNI!I23+JULI!I23+AGUSTUS!I23+SEPTEMBER!I23+OKTOBER!I23+NOVEMBER!I23+DESEMBER!I23)</f>
        <v>0</v>
      </c>
      <c r="J23" s="23">
        <f>SUM(JANUARI!J23+FEBRUARI!J23+MARET!J23+APRIL!J23+MEI!J23+JUNI!J23+JULI!J23+AGUSTUS!J23+SEPTEMBER!J23+OKTOBER!J23+NOVEMBER!J23+DESEMBER!J23)</f>
        <v>3</v>
      </c>
      <c r="K23" s="23">
        <f>SUM(JANUARI!K23+FEBRUARI!K23+MARET!K23+APRIL!K23+MEI!K23+JUNI!K23+JULI!K23+AGUSTUS!K23+SEPTEMBER!K23+OKTOBER!K23+NOVEMBER!K23+DESEMBER!K23)</f>
        <v>87</v>
      </c>
      <c r="L23" s="16">
        <f>SUM(JANUARI!L23+FEBRUARI!L23+MARET!L23+APRIL!L23+MEI!L23+JUNI!L23+JULI!L23+AGUSTUS!L23+SEPTEMBER!L23+OKTOBER!L23+NOVEMBER!L23+DESEMBER!L23)</f>
        <v>90</v>
      </c>
      <c r="M23" s="23">
        <f>SUM(JANUARI!M23+FEBRUARI!M23+MARET!M23+APRIL!M23+MEI!M23+JUNI!M23+JULI!M23+AGUSTUS!M23+SEPTEMBER!M23+OKTOBER!M23+NOVEMBER!M23+DESEMBER!M23)</f>
        <v>0</v>
      </c>
      <c r="N23" s="23">
        <f>SUM(JANUARI!N23+FEBRUARI!N23+MARET!N23+APRIL!N23+MEI!N23+JUNI!N23+JULI!N23+AGUSTUS!N23+SEPTEMBER!N23+OKTOBER!N23+NOVEMBER!N23+DESEMBER!N23)</f>
        <v>0</v>
      </c>
      <c r="O23" s="16">
        <f>SUM(JANUARI!O23+FEBRUARI!O23+MARET!O23+APRIL!O23+MEI!O23+JUNI!O23+JULI!O23+AGUSTUS!O23+SEPTEMBER!O23+OKTOBER!O23+NOVEMBER!O23+DESEMBER!O23)</f>
        <v>0</v>
      </c>
      <c r="P23" s="23">
        <f>SUM(JANUARI!P23+FEBRUARI!P23+MARET!P23+APRIL!P23+MEI!P23+JUNI!P23+JULI!P23+AGUSTUS!P23+SEPTEMBER!P23+OKTOBER!P23+NOVEMBER!P23+DESEMBER!P23)</f>
        <v>15</v>
      </c>
      <c r="Q23" s="23">
        <f>SUM(JANUARI!Q23+FEBRUARI!Q23+MARET!Q23+APRIL!Q23+MEI!Q23+JUNI!Q23+JULI!Q23+AGUSTUS!Q23+SEPTEMBER!Q23+OKTOBER!Q23+NOVEMBER!Q23+DESEMBER!Q23)</f>
        <v>16</v>
      </c>
      <c r="R23" s="16">
        <f>SUM(JANUARI!R23+FEBRUARI!R23+MARET!R23+APRIL!R23+MEI!R23+JUNI!R23+JULI!R23+AGUSTUS!R23+SEPTEMBER!R23+OKTOBER!R23+NOVEMBER!R23+DESEMBER!R23)</f>
        <v>31</v>
      </c>
      <c r="S23" s="23">
        <f>SUM(JANUARI!S23+FEBRUARI!S23+MARET!S23+APRIL!S23+MEI!S23+JUNI!S23+JULI!S23+AGUSTUS!S23+SEPTEMBER!S23+OKTOBER!S23+NOVEMBER!S23+DESEMBER!S23)</f>
        <v>0</v>
      </c>
      <c r="T23" s="23">
        <f>SUM(JANUARI!T23+FEBRUARI!T23+MARET!T23+APRIL!T23+MEI!T23+JUNI!T23+JULI!T23+AGUSTUS!T23+SEPTEMBER!T23+OKTOBER!T23+NOVEMBER!T23+DESEMBER!T23)</f>
        <v>0</v>
      </c>
      <c r="U23" s="16">
        <f>SUM(JANUARI!U23+FEBRUARI!U23+MARET!U23+APRIL!U23+MEI!U23+JUNI!U23+JULI!U23+AGUSTUS!U23+SEPTEMBER!U23+OKTOBER!U23+NOVEMBER!U23+DESEMBER!U23)</f>
        <v>0</v>
      </c>
    </row>
    <row r="24">
      <c r="A24" s="19"/>
      <c r="B24" s="20" t="s">
        <v>29</v>
      </c>
      <c r="C24" s="21" t="s">
        <v>41</v>
      </c>
      <c r="D24" s="23">
        <f>SUM(JANUARI!D24+FEBRUARI!D24+MARET!D24+APRIL!D24+MEI!D24+JUNI!D24+JULI!D24+AGUSTUS!D24+SEPTEMBER!D24+OKTOBER!D24+NOVEMBER!D24+DESEMBER!D24)</f>
        <v>0</v>
      </c>
      <c r="E24" s="23">
        <f>SUM(JANUARI!E24+FEBRUARI!E24+MARET!E24+APRIL!E24+MEI!E24+JUNI!E24+JULI!E24+AGUSTUS!E24+SEPTEMBER!E24+OKTOBER!E24+NOVEMBER!E24+DESEMBER!E24)</f>
        <v>0</v>
      </c>
      <c r="F24" s="16">
        <f>SUM(JANUARI!F24+FEBRUARI!F24+MARET!F24+APRIL!F24+MEI!F24+JUNI!F24+JULI!F24+AGUSTUS!F24+SEPTEMBER!F24+OKTOBER!F24+NOVEMBER!F24+DESEMBER!F24)</f>
        <v>0</v>
      </c>
      <c r="G24" s="23">
        <f>SUM(JANUARI!G24+FEBRUARI!G24+MARET!G24+APRIL!G24+MEI!G24+JUNI!G24+JULI!G24+AGUSTUS!G24+SEPTEMBER!G24+OKTOBER!G24+NOVEMBER!G24+DESEMBER!G24)</f>
        <v>0</v>
      </c>
      <c r="H24" s="23">
        <f>SUM(JANUARI!H24+FEBRUARI!H24+MARET!H24+APRIL!H24+MEI!H24+JUNI!H24+JULI!H24+AGUSTUS!H24+SEPTEMBER!H24+OKTOBER!H24+NOVEMBER!H24+DESEMBER!H24)</f>
        <v>1</v>
      </c>
      <c r="I24" s="16">
        <f>SUM(JANUARI!I24+FEBRUARI!I24+MARET!I24+APRIL!I24+MEI!I24+JUNI!I24+JULI!I24+AGUSTUS!I24+SEPTEMBER!I24+OKTOBER!I24+NOVEMBER!I24+DESEMBER!I24)</f>
        <v>1</v>
      </c>
      <c r="J24" s="23">
        <f>SUM(JANUARI!J24+FEBRUARI!J24+MARET!J24+APRIL!J24+MEI!J24+JUNI!J24+JULI!J24+AGUSTUS!J24+SEPTEMBER!J24+OKTOBER!J24+NOVEMBER!J24+DESEMBER!J24)</f>
        <v>0</v>
      </c>
      <c r="K24" s="23">
        <f>SUM(JANUARI!K24+FEBRUARI!K24+MARET!K24+APRIL!K24+MEI!K24+JUNI!K24+JULI!K24+AGUSTUS!K24+SEPTEMBER!K24+OKTOBER!K24+NOVEMBER!K24+DESEMBER!K24)</f>
        <v>0</v>
      </c>
      <c r="L24" s="16">
        <f>SUM(JANUARI!L24+FEBRUARI!L24+MARET!L24+APRIL!L24+MEI!L24+JUNI!L24+JULI!L24+AGUSTUS!L24+SEPTEMBER!L24+OKTOBER!L24+NOVEMBER!L24+DESEMBER!L24)</f>
        <v>0</v>
      </c>
      <c r="M24" s="23">
        <f>SUM(JANUARI!M24+FEBRUARI!M24+MARET!M24+APRIL!M24+MEI!M24+JUNI!M24+JULI!M24+AGUSTUS!M24+SEPTEMBER!M24+OKTOBER!M24+NOVEMBER!M24+DESEMBER!M24)</f>
        <v>5</v>
      </c>
      <c r="N24" s="23">
        <f>SUM(JANUARI!N24+FEBRUARI!N24+MARET!N24+APRIL!N24+MEI!N24+JUNI!N24+JULI!N24+AGUSTUS!N24+SEPTEMBER!N24+OKTOBER!N24+NOVEMBER!N24+DESEMBER!N24)</f>
        <v>0</v>
      </c>
      <c r="O24" s="16">
        <f>SUM(JANUARI!O24+FEBRUARI!O24+MARET!O24+APRIL!O24+MEI!O24+JUNI!O24+JULI!O24+AGUSTUS!O24+SEPTEMBER!O24+OKTOBER!O24+NOVEMBER!O24+DESEMBER!O24)</f>
        <v>5</v>
      </c>
      <c r="P24" s="23">
        <f>SUM(JANUARI!P24+FEBRUARI!P24+MARET!P24+APRIL!P24+MEI!P24+JUNI!P24+JULI!P24+AGUSTUS!P24+SEPTEMBER!P24+OKTOBER!P24+NOVEMBER!P24+DESEMBER!P24)</f>
        <v>0</v>
      </c>
      <c r="Q24" s="23">
        <f>SUM(JANUARI!Q24+FEBRUARI!Q24+MARET!Q24+APRIL!Q24+MEI!Q24+JUNI!Q24+JULI!Q24+AGUSTUS!Q24+SEPTEMBER!Q24+OKTOBER!Q24+NOVEMBER!Q24+DESEMBER!Q24)</f>
        <v>0</v>
      </c>
      <c r="R24" s="16">
        <f>SUM(JANUARI!R24+FEBRUARI!R24+MARET!R24+APRIL!R24+MEI!R24+JUNI!R24+JULI!R24+AGUSTUS!R24+SEPTEMBER!R24+OKTOBER!R24+NOVEMBER!R24+DESEMBER!R24)</f>
        <v>0</v>
      </c>
      <c r="S24" s="23">
        <f>SUM(JANUARI!S24+FEBRUARI!S24+MARET!S24+APRIL!S24+MEI!S24+JUNI!S24+JULI!S24+AGUSTUS!S24+SEPTEMBER!S24+OKTOBER!S24+NOVEMBER!S24+DESEMBER!S24)</f>
        <v>0</v>
      </c>
      <c r="T24" s="23">
        <f>SUM(JANUARI!T24+FEBRUARI!T24+MARET!T24+APRIL!T24+MEI!T24+JUNI!T24+JULI!T24+AGUSTUS!T24+SEPTEMBER!T24+OKTOBER!T24+NOVEMBER!T24+DESEMBER!T24)</f>
        <v>1</v>
      </c>
      <c r="U24" s="16">
        <f>SUM(JANUARI!U24+FEBRUARI!U24+MARET!U24+APRIL!U24+MEI!U24+JUNI!U24+JULI!U24+AGUSTUS!U24+SEPTEMBER!U24+OKTOBER!U24+NOVEMBER!U24+DESEMBER!U24)</f>
        <v>1</v>
      </c>
    </row>
    <row r="25">
      <c r="A25" s="19"/>
      <c r="B25" s="20" t="s">
        <v>31</v>
      </c>
      <c r="C25" s="21" t="s">
        <v>42</v>
      </c>
      <c r="D25" s="23">
        <f>SUM(JANUARI!D25+FEBRUARI!D25+MARET!D25+APRIL!D25+MEI!D25+JUNI!D25+JULI!D25+AGUSTUS!D25+SEPTEMBER!D25+OKTOBER!D25+NOVEMBER!D25+DESEMBER!D25)</f>
        <v>5</v>
      </c>
      <c r="E25" s="23">
        <f>SUM(JANUARI!E25+FEBRUARI!E25+MARET!E25+APRIL!E25+MEI!E25+JUNI!E25+JULI!E25+AGUSTUS!E25+SEPTEMBER!E25+OKTOBER!E25+NOVEMBER!E25+DESEMBER!E25)</f>
        <v>43</v>
      </c>
      <c r="F25" s="16">
        <f>SUM(JANUARI!F25+FEBRUARI!F25+MARET!F25+APRIL!F25+MEI!F25+JUNI!F25+JULI!F25+AGUSTUS!F25+SEPTEMBER!F25+OKTOBER!F25+NOVEMBER!F25+DESEMBER!F25)</f>
        <v>48</v>
      </c>
      <c r="G25" s="23">
        <f>SUM(JANUARI!G25+FEBRUARI!G25+MARET!G25+APRIL!G25+MEI!G25+JUNI!G25+JULI!G25+AGUSTUS!G25+SEPTEMBER!G25+OKTOBER!G25+NOVEMBER!G25+DESEMBER!G25)</f>
        <v>0</v>
      </c>
      <c r="H25" s="23">
        <f>SUM(JANUARI!H25+FEBRUARI!H25+MARET!H25+APRIL!H25+MEI!H25+JUNI!H25+JULI!H25+AGUSTUS!H25+SEPTEMBER!H25+OKTOBER!H25+NOVEMBER!H25+DESEMBER!H25)</f>
        <v>140</v>
      </c>
      <c r="I25" s="16">
        <f>SUM(JANUARI!I25+FEBRUARI!I25+MARET!I25+APRIL!I25+MEI!I25+JUNI!I25+JULI!I25+AGUSTUS!I25+SEPTEMBER!I25+OKTOBER!I25+NOVEMBER!I25+DESEMBER!I25)</f>
        <v>140</v>
      </c>
      <c r="J25" s="23">
        <f>SUM(JANUARI!J25+FEBRUARI!J25+MARET!J25+APRIL!J25+MEI!J25+JUNI!J25+JULI!J25+AGUSTUS!J25+SEPTEMBER!J25+OKTOBER!J25+NOVEMBER!J25+DESEMBER!J25)</f>
        <v>0</v>
      </c>
      <c r="K25" s="23">
        <f>SUM(JANUARI!K25+FEBRUARI!K25+MARET!K25+APRIL!K25+MEI!K25+JUNI!K25+JULI!K25+AGUSTUS!K25+SEPTEMBER!K25+OKTOBER!K25+NOVEMBER!K25+DESEMBER!K25)</f>
        <v>0</v>
      </c>
      <c r="L25" s="16">
        <f>SUM(JANUARI!L25+FEBRUARI!L25+MARET!L25+APRIL!L25+MEI!L25+JUNI!L25+JULI!L25+AGUSTUS!L25+SEPTEMBER!L25+OKTOBER!L25+NOVEMBER!L25+DESEMBER!L25)</f>
        <v>0</v>
      </c>
      <c r="M25" s="23">
        <f>SUM(JANUARI!M25+FEBRUARI!M25+MARET!M25+APRIL!M25+MEI!M25+JUNI!M25+JULI!M25+AGUSTUS!M25+SEPTEMBER!M25+OKTOBER!M25+NOVEMBER!M25+DESEMBER!M25)</f>
        <v>0</v>
      </c>
      <c r="N25" s="23">
        <f>SUM(JANUARI!N25+FEBRUARI!N25+MARET!N25+APRIL!N25+MEI!N25+JUNI!N25+JULI!N25+AGUSTUS!N25+SEPTEMBER!N25+OKTOBER!N25+NOVEMBER!N25+DESEMBER!N25)</f>
        <v>0</v>
      </c>
      <c r="O25" s="16">
        <f>SUM(JANUARI!O25+FEBRUARI!O25+MARET!O25+APRIL!O25+MEI!O25+JUNI!O25+JULI!O25+AGUSTUS!O25+SEPTEMBER!O25+OKTOBER!O25+NOVEMBER!O25+DESEMBER!O25)</f>
        <v>0</v>
      </c>
      <c r="P25" s="23">
        <f>SUM(JANUARI!P25+FEBRUARI!P25+MARET!P25+APRIL!P25+MEI!P25+JUNI!P25+JULI!P25+AGUSTUS!P25+SEPTEMBER!P25+OKTOBER!P25+NOVEMBER!P25+DESEMBER!P25)</f>
        <v>0</v>
      </c>
      <c r="Q25" s="23">
        <f>SUM(JANUARI!Q25+FEBRUARI!Q25+MARET!Q25+APRIL!Q25+MEI!Q25+JUNI!Q25+JULI!Q25+AGUSTUS!Q25+SEPTEMBER!Q25+OKTOBER!Q25+NOVEMBER!Q25+DESEMBER!Q25)</f>
        <v>0</v>
      </c>
      <c r="R25" s="16">
        <f>SUM(JANUARI!R25+FEBRUARI!R25+MARET!R25+APRIL!R25+MEI!R25+JUNI!R25+JULI!R25+AGUSTUS!R25+SEPTEMBER!R25+OKTOBER!R25+NOVEMBER!R25+DESEMBER!R25)</f>
        <v>0</v>
      </c>
      <c r="S25" s="23">
        <f>SUM(JANUARI!S25+FEBRUARI!S25+MARET!S25+APRIL!S25+MEI!S25+JUNI!S25+JULI!S25+AGUSTUS!S25+SEPTEMBER!S25+OKTOBER!S25+NOVEMBER!S25+DESEMBER!S25)</f>
        <v>0</v>
      </c>
      <c r="T25" s="23">
        <f>SUM(JANUARI!T25+FEBRUARI!T25+MARET!T25+APRIL!T25+MEI!T25+JUNI!T25+JULI!T25+AGUSTUS!T25+SEPTEMBER!T25+OKTOBER!T25+NOVEMBER!T25+DESEMBER!T25)</f>
        <v>0</v>
      </c>
      <c r="U25" s="16">
        <f>SUM(JANUARI!U25+FEBRUARI!U25+MARET!U25+APRIL!U25+MEI!U25+JUNI!U25+JULI!U25+AGUSTUS!U25+SEPTEMBER!U25+OKTOBER!U25+NOVEMBER!U25+DESEMBER!U25)</f>
        <v>0</v>
      </c>
    </row>
    <row r="26">
      <c r="A26" s="19"/>
      <c r="B26" s="20" t="s">
        <v>33</v>
      </c>
      <c r="C26" s="21" t="s">
        <v>43</v>
      </c>
      <c r="D26" s="23">
        <f>SUM(JANUARI!D26+FEBRUARI!D26+MARET!D26+APRIL!D26+MEI!D26+JUNI!D26+JULI!D26+AGUSTUS!D26+SEPTEMBER!D26+OKTOBER!D26+NOVEMBER!D26+DESEMBER!D26)</f>
        <v>251</v>
      </c>
      <c r="E26" s="23">
        <f>SUM(JANUARI!E26+FEBRUARI!E26+MARET!E26+APRIL!E26+MEI!E26+JUNI!E26+JULI!E26+AGUSTUS!E26+SEPTEMBER!E26+OKTOBER!E26+NOVEMBER!E26+DESEMBER!E26)</f>
        <v>557</v>
      </c>
      <c r="F26" s="16">
        <f>SUM(JANUARI!F26+FEBRUARI!F26+MARET!F26+APRIL!F26+MEI!F26+JUNI!F26+JULI!F26+AGUSTUS!F26+SEPTEMBER!F26+OKTOBER!F26+NOVEMBER!F26+DESEMBER!F26)</f>
        <v>808</v>
      </c>
      <c r="G26" s="23">
        <f>SUM(JANUARI!G26+FEBRUARI!G26+MARET!G26+APRIL!G26+MEI!G26+JUNI!G26+JULI!G26+AGUSTUS!G26+SEPTEMBER!G26+OKTOBER!G26+NOVEMBER!G26+DESEMBER!G26)</f>
        <v>159</v>
      </c>
      <c r="H26" s="23">
        <f>SUM(JANUARI!H26+FEBRUARI!H26+MARET!H26+APRIL!H26+MEI!H26+JUNI!H26+JULI!H26+AGUSTUS!H26+SEPTEMBER!H26+OKTOBER!H26+NOVEMBER!H26+DESEMBER!H26)</f>
        <v>233</v>
      </c>
      <c r="I26" s="16">
        <f>SUM(JANUARI!I26+FEBRUARI!I26+MARET!I26+APRIL!I26+MEI!I26+JUNI!I26+JULI!I26+AGUSTUS!I26+SEPTEMBER!I26+OKTOBER!I26+NOVEMBER!I26+DESEMBER!I26)</f>
        <v>392</v>
      </c>
      <c r="J26" s="23">
        <f>SUM(JANUARI!J26+FEBRUARI!J26+MARET!J26+APRIL!J26+MEI!J26+JUNI!J26+JULI!J26+AGUSTUS!J26+SEPTEMBER!J26+OKTOBER!J26+NOVEMBER!J26+DESEMBER!J26)</f>
        <v>132</v>
      </c>
      <c r="K26" s="23">
        <f>SUM(JANUARI!K26+FEBRUARI!K26+MARET!K26+APRIL!K26+MEI!K26+JUNI!K26+JULI!K26+AGUSTUS!K26+SEPTEMBER!K26+OKTOBER!K26+NOVEMBER!K26+DESEMBER!K26)</f>
        <v>325</v>
      </c>
      <c r="L26" s="16">
        <f>SUM(JANUARI!L26+FEBRUARI!L26+MARET!L26+APRIL!L26+MEI!L26+JUNI!L26+JULI!L26+AGUSTUS!L26+SEPTEMBER!L26+OKTOBER!L26+NOVEMBER!L26+DESEMBER!L26)</f>
        <v>457</v>
      </c>
      <c r="M26" s="23">
        <f>SUM(JANUARI!M26+FEBRUARI!M26+MARET!M26+APRIL!M26+MEI!M26+JUNI!M26+JULI!M26+AGUSTUS!M26+SEPTEMBER!M26+OKTOBER!M26+NOVEMBER!M26+DESEMBER!M26)</f>
        <v>116</v>
      </c>
      <c r="N26" s="23">
        <f>SUM(JANUARI!N26+FEBRUARI!N26+MARET!N26+APRIL!N26+MEI!N26+JUNI!N26+JULI!N26+AGUSTUS!N26+SEPTEMBER!N26+OKTOBER!N26+NOVEMBER!N26+DESEMBER!N26)</f>
        <v>280</v>
      </c>
      <c r="O26" s="16">
        <f>SUM(JANUARI!O26+FEBRUARI!O26+MARET!O26+APRIL!O26+MEI!O26+JUNI!O26+JULI!O26+AGUSTUS!O26+SEPTEMBER!O26+OKTOBER!O26+NOVEMBER!O26+DESEMBER!O26)</f>
        <v>396</v>
      </c>
      <c r="P26" s="23">
        <f>SUM(JANUARI!P26+FEBRUARI!P26+MARET!P26+APRIL!P26+MEI!P26+JUNI!P26+JULI!P26+AGUSTUS!P26+SEPTEMBER!P26+OKTOBER!P26+NOVEMBER!P26+DESEMBER!P26)</f>
        <v>69</v>
      </c>
      <c r="Q26" s="23">
        <f>SUM(JANUARI!Q26+FEBRUARI!Q26+MARET!Q26+APRIL!Q26+MEI!Q26+JUNI!Q26+JULI!Q26+AGUSTUS!Q26+SEPTEMBER!Q26+OKTOBER!Q26+NOVEMBER!Q26+DESEMBER!Q26)</f>
        <v>139</v>
      </c>
      <c r="R26" s="16">
        <f>SUM(JANUARI!R26+FEBRUARI!R26+MARET!R26+APRIL!R26+MEI!R26+JUNI!R26+JULI!R26+AGUSTUS!R26+SEPTEMBER!R26+OKTOBER!R26+NOVEMBER!R26+DESEMBER!R26)</f>
        <v>208</v>
      </c>
      <c r="S26" s="23">
        <f>SUM(JANUARI!S26+FEBRUARI!S26+MARET!S26+APRIL!S26+MEI!S26+JUNI!S26+JULI!S26+AGUSTUS!S26+SEPTEMBER!S26+OKTOBER!S26+NOVEMBER!S26+DESEMBER!S26)</f>
        <v>49</v>
      </c>
      <c r="T26" s="23">
        <f>SUM(JANUARI!T26+FEBRUARI!T26+MARET!T26+APRIL!T26+MEI!T26+JUNI!T26+JULI!T26+AGUSTUS!T26+SEPTEMBER!T26+OKTOBER!T26+NOVEMBER!T26+DESEMBER!T26)</f>
        <v>57</v>
      </c>
      <c r="U26" s="16">
        <f>SUM(JANUARI!U26+FEBRUARI!U26+MARET!U26+APRIL!U26+MEI!U26+JUNI!U26+JULI!U26+AGUSTUS!U26+SEPTEMBER!U26+OKTOBER!U26+NOVEMBER!U26+DESEMBER!U26)</f>
        <v>106</v>
      </c>
    </row>
    <row r="27">
      <c r="A27" s="19"/>
      <c r="B27" s="20" t="s">
        <v>44</v>
      </c>
      <c r="C27" s="21" t="s">
        <v>45</v>
      </c>
      <c r="D27" s="23">
        <f>SUM(JANUARI!D27+FEBRUARI!D27+MARET!D27+APRIL!D27+MEI!D27+JUNI!D27+JULI!D27+AGUSTUS!D27+SEPTEMBER!D27+OKTOBER!D27+NOVEMBER!D27+DESEMBER!D27)</f>
        <v>516</v>
      </c>
      <c r="E27" s="23">
        <f>SUM(JANUARI!E27+FEBRUARI!E27+MARET!E27+APRIL!E27+MEI!E27+JUNI!E27+JULI!E27+AGUSTUS!E27+SEPTEMBER!E27+OKTOBER!E27+NOVEMBER!E27+DESEMBER!E27)</f>
        <v>1045</v>
      </c>
      <c r="F27" s="16">
        <f>SUM(JANUARI!F27+FEBRUARI!F27+MARET!F27+APRIL!F27+MEI!F27+JUNI!F27+JULI!F27+AGUSTUS!F27+SEPTEMBER!F27+OKTOBER!F27+NOVEMBER!F27+DESEMBER!F27)</f>
        <v>1561</v>
      </c>
      <c r="G27" s="23">
        <f>SUM(JANUARI!G27+FEBRUARI!G27+MARET!G27+APRIL!G27+MEI!G27+JUNI!G27+JULI!G27+AGUSTUS!G27+SEPTEMBER!G27+OKTOBER!G27+NOVEMBER!G27+DESEMBER!G27)</f>
        <v>260</v>
      </c>
      <c r="H27" s="23">
        <f>SUM(JANUARI!H27+FEBRUARI!H27+MARET!H27+APRIL!H27+MEI!H27+JUNI!H27+JULI!H27+AGUSTUS!H27+SEPTEMBER!H27+OKTOBER!H27+NOVEMBER!H27+DESEMBER!H27)</f>
        <v>571</v>
      </c>
      <c r="I27" s="16">
        <f>SUM(JANUARI!I27+FEBRUARI!I27+MARET!I27+APRIL!I27+MEI!I27+JUNI!I27+JULI!I27+AGUSTUS!I27+SEPTEMBER!I27+OKTOBER!I27+NOVEMBER!I27+DESEMBER!I27)</f>
        <v>831</v>
      </c>
      <c r="J27" s="23">
        <f>SUM(JANUARI!J27+FEBRUARI!J27+MARET!J27+APRIL!J27+MEI!J27+JUNI!J27+JULI!J27+AGUSTUS!J27+SEPTEMBER!J27+OKTOBER!J27+NOVEMBER!J27+DESEMBER!J27)</f>
        <v>161</v>
      </c>
      <c r="K27" s="23">
        <f>SUM(JANUARI!K27+FEBRUARI!K27+MARET!K27+APRIL!K27+MEI!K27+JUNI!K27+JULI!K27+AGUSTUS!K27+SEPTEMBER!K27+OKTOBER!K27+NOVEMBER!K27+DESEMBER!K27)</f>
        <v>345</v>
      </c>
      <c r="L27" s="16">
        <f>SUM(JANUARI!L27+FEBRUARI!L27+MARET!L27+APRIL!L27+MEI!L27+JUNI!L27+JULI!L27+AGUSTUS!L27+SEPTEMBER!L27+OKTOBER!L27+NOVEMBER!L27+DESEMBER!L27)</f>
        <v>506</v>
      </c>
      <c r="M27" s="23">
        <f>SUM(JANUARI!M27+FEBRUARI!M27+MARET!M27+APRIL!M27+MEI!M27+JUNI!M27+JULI!M27+AGUSTUS!M27+SEPTEMBER!M27+OKTOBER!M27+NOVEMBER!M27+DESEMBER!M27)</f>
        <v>192</v>
      </c>
      <c r="N27" s="23">
        <f>SUM(JANUARI!N27+FEBRUARI!N27+MARET!N27+APRIL!N27+MEI!N27+JUNI!N27+JULI!N27+AGUSTUS!N27+SEPTEMBER!N27+OKTOBER!N27+NOVEMBER!N27+DESEMBER!N27)</f>
        <v>568</v>
      </c>
      <c r="O27" s="16">
        <f>SUM(JANUARI!O27+FEBRUARI!O27+MARET!O27+APRIL!O27+MEI!O27+JUNI!O27+JULI!O27+AGUSTUS!O27+SEPTEMBER!O27+OKTOBER!O27+NOVEMBER!O27+DESEMBER!O27)</f>
        <v>760</v>
      </c>
      <c r="P27" s="23">
        <f>SUM(JANUARI!P27+FEBRUARI!P27+MARET!P27+APRIL!P27+MEI!P27+JUNI!P27+JULI!P27+AGUSTUS!P27+SEPTEMBER!P27+OKTOBER!P27+NOVEMBER!P27+DESEMBER!P27)</f>
        <v>142</v>
      </c>
      <c r="Q27" s="23">
        <f>SUM(JANUARI!Q27+FEBRUARI!Q27+MARET!Q27+APRIL!Q27+MEI!Q27+JUNI!Q27+JULI!Q27+AGUSTUS!Q27+SEPTEMBER!Q27+OKTOBER!Q27+NOVEMBER!Q27+DESEMBER!Q27)</f>
        <v>413</v>
      </c>
      <c r="R27" s="16">
        <f>SUM(JANUARI!R27+FEBRUARI!R27+MARET!R27+APRIL!R27+MEI!R27+JUNI!R27+JULI!R27+AGUSTUS!R27+SEPTEMBER!R27+OKTOBER!R27+NOVEMBER!R27+DESEMBER!R27)</f>
        <v>555</v>
      </c>
      <c r="S27" s="23">
        <f>SUM(JANUARI!S27+FEBRUARI!S27+MARET!S27+APRIL!S27+MEI!S27+JUNI!S27+JULI!S27+AGUSTUS!S27+SEPTEMBER!S27+OKTOBER!S27+NOVEMBER!S27+DESEMBER!S27)</f>
        <v>85</v>
      </c>
      <c r="T27" s="23">
        <f>SUM(JANUARI!T27+FEBRUARI!T27+MARET!T27+APRIL!T27+MEI!T27+JUNI!T27+JULI!T27+AGUSTUS!T27+SEPTEMBER!T27+OKTOBER!T27+NOVEMBER!T27+DESEMBER!T27)</f>
        <v>84</v>
      </c>
      <c r="U27" s="16">
        <f>SUM(JANUARI!U27+FEBRUARI!U27+MARET!U27+APRIL!U27+MEI!U27+JUNI!U27+JULI!U27+AGUSTUS!U27+SEPTEMBER!U27+OKTOBER!U27+NOVEMBER!U27+DESEMBER!U27)</f>
        <v>169</v>
      </c>
    </row>
    <row r="28">
      <c r="A28" s="19"/>
      <c r="B28" s="20" t="s">
        <v>46</v>
      </c>
      <c r="C28" s="21" t="s">
        <v>47</v>
      </c>
      <c r="D28" s="23">
        <f>SUM(JANUARI!D28+FEBRUARI!D28+MARET!D28+APRIL!D28+MEI!D28+JUNI!D28+JULI!D28+AGUSTUS!D28+SEPTEMBER!D28+OKTOBER!D28+NOVEMBER!D28+DESEMBER!D28)</f>
        <v>122</v>
      </c>
      <c r="E28" s="23">
        <f>SUM(JANUARI!E28+FEBRUARI!E28+MARET!E28+APRIL!E28+MEI!E28+JUNI!E28+JULI!E28+AGUSTUS!E28+SEPTEMBER!E28+OKTOBER!E28+NOVEMBER!E28+DESEMBER!E28)</f>
        <v>312</v>
      </c>
      <c r="F28" s="16">
        <f>SUM(JANUARI!F28+FEBRUARI!F28+MARET!F28+APRIL!F28+MEI!F28+JUNI!F28+JULI!F28+AGUSTUS!F28+SEPTEMBER!F28+OKTOBER!F28+NOVEMBER!F28+DESEMBER!F28)</f>
        <v>434</v>
      </c>
      <c r="G28" s="23">
        <f>SUM(JANUARI!G28+FEBRUARI!G28+MARET!G28+APRIL!G28+MEI!G28+JUNI!G28+JULI!G28+AGUSTUS!G28+SEPTEMBER!G28+OKTOBER!G28+NOVEMBER!G28+DESEMBER!G28)</f>
        <v>162</v>
      </c>
      <c r="H28" s="23">
        <f>SUM(JANUARI!H28+FEBRUARI!H28+MARET!H28+APRIL!H28+MEI!H28+JUNI!H28+JULI!H28+AGUSTUS!H28+SEPTEMBER!H28+OKTOBER!H28+NOVEMBER!H28+DESEMBER!H28)</f>
        <v>255</v>
      </c>
      <c r="I28" s="16">
        <f>SUM(JANUARI!I28+FEBRUARI!I28+MARET!I28+APRIL!I28+MEI!I28+JUNI!I28+JULI!I28+AGUSTUS!I28+SEPTEMBER!I28+OKTOBER!I28+NOVEMBER!I28+DESEMBER!I28)</f>
        <v>417</v>
      </c>
      <c r="J28" s="23">
        <f>SUM(JANUARI!J28+FEBRUARI!J28+MARET!J28+APRIL!J28+MEI!J28+JUNI!J28+JULI!J28+AGUSTUS!J28+SEPTEMBER!J28+OKTOBER!J28+NOVEMBER!J28+DESEMBER!J28)</f>
        <v>73</v>
      </c>
      <c r="K28" s="23">
        <f>SUM(JANUARI!K28+FEBRUARI!K28+MARET!K28+APRIL!K28+MEI!K28+JUNI!K28+JULI!K28+AGUSTUS!K28+SEPTEMBER!K28+OKTOBER!K28+NOVEMBER!K28+DESEMBER!K28)</f>
        <v>163</v>
      </c>
      <c r="L28" s="16">
        <f>SUM(JANUARI!L28+FEBRUARI!L28+MARET!L28+APRIL!L28+MEI!L28+JUNI!L28+JULI!L28+AGUSTUS!L28+SEPTEMBER!L28+OKTOBER!L28+NOVEMBER!L28+DESEMBER!L28)</f>
        <v>236</v>
      </c>
      <c r="M28" s="23">
        <f>SUM(JANUARI!M28+FEBRUARI!M28+MARET!M28+APRIL!M28+MEI!M28+JUNI!M28+JULI!M28+AGUSTUS!M28+SEPTEMBER!M28+OKTOBER!M28+NOVEMBER!M28+DESEMBER!M28)</f>
        <v>11</v>
      </c>
      <c r="N28" s="23">
        <f>SUM(JANUARI!N28+FEBRUARI!N28+MARET!N28+APRIL!N28+MEI!N28+JUNI!N28+JULI!N28+AGUSTUS!N28+SEPTEMBER!N28+OKTOBER!N28+NOVEMBER!N28+DESEMBER!N28)</f>
        <v>15</v>
      </c>
      <c r="O28" s="16">
        <f>SUM(JANUARI!O28+FEBRUARI!O28+MARET!O28+APRIL!O28+MEI!O28+JUNI!O28+JULI!O28+AGUSTUS!O28+SEPTEMBER!O28+OKTOBER!O28+NOVEMBER!O28+DESEMBER!O28)</f>
        <v>26</v>
      </c>
      <c r="P28" s="23">
        <f>SUM(JANUARI!P28+FEBRUARI!P28+MARET!P28+APRIL!P28+MEI!P28+JUNI!P28+JULI!P28+AGUSTUS!P28+SEPTEMBER!P28+OKTOBER!P28+NOVEMBER!P28+DESEMBER!P28)</f>
        <v>52</v>
      </c>
      <c r="Q28" s="23">
        <f>SUM(JANUARI!Q28+FEBRUARI!Q28+MARET!Q28+APRIL!Q28+MEI!Q28+JUNI!Q28+JULI!Q28+AGUSTUS!Q28+SEPTEMBER!Q28+OKTOBER!Q28+NOVEMBER!Q28+DESEMBER!Q28)</f>
        <v>146</v>
      </c>
      <c r="R28" s="16">
        <f>SUM(JANUARI!R28+FEBRUARI!R28+MARET!R28+APRIL!R28+MEI!R28+JUNI!R28+JULI!R28+AGUSTUS!R28+SEPTEMBER!R28+OKTOBER!R28+NOVEMBER!R28+DESEMBER!R28)</f>
        <v>198</v>
      </c>
      <c r="S28" s="23">
        <f>SUM(JANUARI!S28+FEBRUARI!S28+MARET!S28+APRIL!S28+MEI!S28+JUNI!S28+JULI!S28+AGUSTUS!S28+SEPTEMBER!S28+OKTOBER!S28+NOVEMBER!S28+DESEMBER!S28)</f>
        <v>35</v>
      </c>
      <c r="T28" s="23">
        <f>SUM(JANUARI!T28+FEBRUARI!T28+MARET!T28+APRIL!T28+MEI!T28+JUNI!T28+JULI!T28+AGUSTUS!T28+SEPTEMBER!T28+OKTOBER!T28+NOVEMBER!T28+DESEMBER!T28)</f>
        <v>41</v>
      </c>
      <c r="U28" s="16">
        <f>SUM(JANUARI!U28+FEBRUARI!U28+MARET!U28+APRIL!U28+MEI!U28+JUNI!U28+JULI!U28+AGUSTUS!U28+SEPTEMBER!U28+OKTOBER!U28+NOVEMBER!U28+DESEMBER!U28)</f>
        <v>76</v>
      </c>
    </row>
    <row r="29">
      <c r="A29" s="19"/>
      <c r="B29" s="20" t="s">
        <v>48</v>
      </c>
      <c r="C29" s="21" t="s">
        <v>49</v>
      </c>
      <c r="D29" s="23">
        <f>SUM(JANUARI!D29+FEBRUARI!D29+MARET!D29+APRIL!D29+MEI!D29+JUNI!D29+JULI!D29+AGUSTUS!D29+SEPTEMBER!D29+OKTOBER!D29+NOVEMBER!D29+DESEMBER!D29)</f>
        <v>0</v>
      </c>
      <c r="E29" s="23">
        <f>SUM(JANUARI!E29+FEBRUARI!E29+MARET!E29+APRIL!E29+MEI!E29+JUNI!E29+JULI!E29+AGUSTUS!E29+SEPTEMBER!E29+OKTOBER!E29+NOVEMBER!E29+DESEMBER!E29)</f>
        <v>0</v>
      </c>
      <c r="F29" s="16">
        <f>SUM(JANUARI!F29+FEBRUARI!F29+MARET!F29+APRIL!F29+MEI!F29+JUNI!F29+JULI!F29+AGUSTUS!F29+SEPTEMBER!F29+OKTOBER!F29+NOVEMBER!F29+DESEMBER!F29)</f>
        <v>0</v>
      </c>
      <c r="G29" s="23">
        <f>SUM(JANUARI!G29+FEBRUARI!G29+MARET!G29+APRIL!G29+MEI!G29+JUNI!G29+JULI!G29+AGUSTUS!G29+SEPTEMBER!G29+OKTOBER!G29+NOVEMBER!G29+DESEMBER!G29)</f>
        <v>0</v>
      </c>
      <c r="H29" s="23">
        <f>SUM(JANUARI!H29+FEBRUARI!H29+MARET!H29+APRIL!H29+MEI!H29+JUNI!H29+JULI!H29+AGUSTUS!H29+SEPTEMBER!H29+OKTOBER!H29+NOVEMBER!H29+DESEMBER!H29)</f>
        <v>0</v>
      </c>
      <c r="I29" s="16">
        <f>SUM(JANUARI!I29+FEBRUARI!I29+MARET!I29+APRIL!I29+MEI!I29+JUNI!I29+JULI!I29+AGUSTUS!I29+SEPTEMBER!I29+OKTOBER!I29+NOVEMBER!I29+DESEMBER!I29)</f>
        <v>0</v>
      </c>
      <c r="J29" s="23">
        <f>SUM(JANUARI!J29+FEBRUARI!J29+MARET!J29+APRIL!J29+MEI!J29+JUNI!J29+JULI!J29+AGUSTUS!J29+SEPTEMBER!J29+OKTOBER!J29+NOVEMBER!J29+DESEMBER!J29)</f>
        <v>0</v>
      </c>
      <c r="K29" s="23">
        <f>SUM(JANUARI!K29+FEBRUARI!K29+MARET!K29+APRIL!K29+MEI!K29+JUNI!K29+JULI!K29+AGUSTUS!K29+SEPTEMBER!K29+OKTOBER!K29+NOVEMBER!K29+DESEMBER!K29)</f>
        <v>2</v>
      </c>
      <c r="L29" s="16">
        <f>SUM(JANUARI!L29+FEBRUARI!L29+MARET!L29+APRIL!L29+MEI!L29+JUNI!L29+JULI!L29+AGUSTUS!L29+SEPTEMBER!L29+OKTOBER!L29+NOVEMBER!L29+DESEMBER!L29)</f>
        <v>2</v>
      </c>
      <c r="M29" s="23">
        <f>SUM(JANUARI!M29+FEBRUARI!M29+MARET!M29+APRIL!M29+MEI!M29+JUNI!M29+JULI!M29+AGUSTUS!M29+SEPTEMBER!M29+OKTOBER!M29+NOVEMBER!M29+DESEMBER!M29)</f>
        <v>0</v>
      </c>
      <c r="N29" s="23">
        <f>SUM(JANUARI!N29+FEBRUARI!N29+MARET!N29+APRIL!N29+MEI!N29+JUNI!N29+JULI!N29+AGUSTUS!N29+SEPTEMBER!N29+OKTOBER!N29+NOVEMBER!N29+DESEMBER!N29)</f>
        <v>0</v>
      </c>
      <c r="O29" s="16">
        <f>SUM(JANUARI!O29+FEBRUARI!O29+MARET!O29+APRIL!O29+MEI!O29+JUNI!O29+JULI!O29+AGUSTUS!O29+SEPTEMBER!O29+OKTOBER!O29+NOVEMBER!O29+DESEMBER!O29)</f>
        <v>0</v>
      </c>
      <c r="P29" s="23">
        <f>SUM(JANUARI!P29+FEBRUARI!P29+MARET!P29+APRIL!P29+MEI!P29+JUNI!P29+JULI!P29+AGUSTUS!P29+SEPTEMBER!P29+OKTOBER!P29+NOVEMBER!P29+DESEMBER!P29)</f>
        <v>0</v>
      </c>
      <c r="Q29" s="23">
        <f>SUM(JANUARI!Q29+FEBRUARI!Q29+MARET!Q29+APRIL!Q29+MEI!Q29+JUNI!Q29+JULI!Q29+AGUSTUS!Q29+SEPTEMBER!Q29+OKTOBER!Q29+NOVEMBER!Q29+DESEMBER!Q29)</f>
        <v>0</v>
      </c>
      <c r="R29" s="16">
        <f>SUM(JANUARI!R29+FEBRUARI!R29+MARET!R29+APRIL!R29+MEI!R29+JUNI!R29+JULI!R29+AGUSTUS!R29+SEPTEMBER!R29+OKTOBER!R29+NOVEMBER!R29+DESEMBER!R29)</f>
        <v>0</v>
      </c>
      <c r="S29" s="23">
        <f>SUM(JANUARI!S29+FEBRUARI!S29+MARET!S29+APRIL!S29+MEI!S29+JUNI!S29+JULI!S29+AGUSTUS!S29+SEPTEMBER!S29+OKTOBER!S29+NOVEMBER!S29+DESEMBER!S29)</f>
        <v>0</v>
      </c>
      <c r="T29" s="23">
        <f>SUM(JANUARI!T29+FEBRUARI!T29+MARET!T29+APRIL!T29+MEI!T29+JUNI!T29+JULI!T29+AGUSTUS!T29+SEPTEMBER!T29+OKTOBER!T29+NOVEMBER!T29+DESEMBER!T29)</f>
        <v>0</v>
      </c>
      <c r="U29" s="16">
        <f>SUM(JANUARI!U29+FEBRUARI!U29+MARET!U29+APRIL!U29+MEI!U29+JUNI!U29+JULI!U29+AGUSTUS!U29+SEPTEMBER!U29+OKTOBER!U29+NOVEMBER!U29+DESEMBER!U29)</f>
        <v>0</v>
      </c>
    </row>
    <row r="30">
      <c r="A30" s="19"/>
      <c r="B30" s="20" t="s">
        <v>50</v>
      </c>
      <c r="C30" s="21" t="s">
        <v>51</v>
      </c>
      <c r="D30" s="23">
        <f>SUM(JANUARI!D30+FEBRUARI!D30+MARET!D30+APRIL!D30+MEI!D30+JUNI!D30+JULI!D30+AGUSTUS!D30+SEPTEMBER!D30+OKTOBER!D30+NOVEMBER!D30+DESEMBER!D30)</f>
        <v>234</v>
      </c>
      <c r="E30" s="23">
        <f>SUM(JANUARI!E30+FEBRUARI!E30+MARET!E30+APRIL!E30+MEI!E30+JUNI!E30+JULI!E30+AGUSTUS!E30+SEPTEMBER!E30+OKTOBER!E30+NOVEMBER!E30+DESEMBER!E30)</f>
        <v>654</v>
      </c>
      <c r="F30" s="16">
        <f>SUM(JANUARI!F30+FEBRUARI!F30+MARET!F30+APRIL!F30+MEI!F30+JUNI!F30+JULI!F30+AGUSTUS!F30+SEPTEMBER!F30+OKTOBER!F30+NOVEMBER!F30+DESEMBER!F30)</f>
        <v>888</v>
      </c>
      <c r="G30" s="23">
        <f>SUM(JANUARI!G30+FEBRUARI!G30+MARET!G30+APRIL!G30+MEI!G30+JUNI!G30+JULI!G30+AGUSTUS!G30+SEPTEMBER!G30+OKTOBER!G30+NOVEMBER!G30+DESEMBER!G30)</f>
        <v>162</v>
      </c>
      <c r="H30" s="23">
        <f>SUM(JANUARI!H30+FEBRUARI!H30+MARET!H30+APRIL!H30+MEI!H30+JUNI!H30+JULI!H30+AGUSTUS!H30+SEPTEMBER!H30+OKTOBER!H30+NOVEMBER!H30+DESEMBER!H30)</f>
        <v>257</v>
      </c>
      <c r="I30" s="16">
        <f>SUM(JANUARI!I30+FEBRUARI!I30+MARET!I30+APRIL!I30+MEI!I30+JUNI!I30+JULI!I30+AGUSTUS!I30+SEPTEMBER!I30+OKTOBER!I30+NOVEMBER!I30+DESEMBER!I30)</f>
        <v>419</v>
      </c>
      <c r="J30" s="23">
        <f>SUM(JANUARI!J30+FEBRUARI!J30+MARET!J30+APRIL!J30+MEI!J30+JUNI!J30+JULI!J30+AGUSTUS!J30+SEPTEMBER!J30+OKTOBER!J30+NOVEMBER!J30+DESEMBER!J30)</f>
        <v>95</v>
      </c>
      <c r="K30" s="23">
        <f>SUM(JANUARI!K30+FEBRUARI!K30+MARET!K30+APRIL!K30+MEI!K30+JUNI!K30+JULI!K30+AGUSTUS!K30+SEPTEMBER!K30+OKTOBER!K30+NOVEMBER!K30+DESEMBER!K30)</f>
        <v>219</v>
      </c>
      <c r="L30" s="16">
        <f>SUM(JANUARI!L30+FEBRUARI!L30+MARET!L30+APRIL!L30+MEI!L30+JUNI!L30+JULI!L30+AGUSTUS!L30+SEPTEMBER!L30+OKTOBER!L30+NOVEMBER!L30+DESEMBER!L30)</f>
        <v>314</v>
      </c>
      <c r="M30" s="23">
        <f>SUM(JANUARI!M30+FEBRUARI!M30+MARET!M30+APRIL!M30+MEI!M30+JUNI!M30+JULI!M30+AGUSTUS!M30+SEPTEMBER!M30+OKTOBER!M30+NOVEMBER!M30+DESEMBER!M30)</f>
        <v>111</v>
      </c>
      <c r="N30" s="23">
        <f>SUM(JANUARI!N30+FEBRUARI!N30+MARET!N30+APRIL!N30+MEI!N30+JUNI!N30+JULI!N30+AGUSTUS!N30+SEPTEMBER!N30+OKTOBER!N30+NOVEMBER!N30+DESEMBER!N30)</f>
        <v>295</v>
      </c>
      <c r="O30" s="16">
        <f>SUM(JANUARI!O30+FEBRUARI!O30+MARET!O30+APRIL!O30+MEI!O30+JUNI!O30+JULI!O30+AGUSTUS!O30+SEPTEMBER!O30+OKTOBER!O30+NOVEMBER!O30+DESEMBER!O30)</f>
        <v>406</v>
      </c>
      <c r="P30" s="23">
        <f>SUM(JANUARI!P30+FEBRUARI!P30+MARET!P30+APRIL!P30+MEI!P30+JUNI!P30+JULI!P30+AGUSTUS!P30+SEPTEMBER!P30+OKTOBER!P30+NOVEMBER!P30+DESEMBER!P30)</f>
        <v>85</v>
      </c>
      <c r="Q30" s="23">
        <f>SUM(JANUARI!Q30+FEBRUARI!Q30+MARET!Q30+APRIL!Q30+MEI!Q30+JUNI!Q30+JULI!Q30+AGUSTUS!Q30+SEPTEMBER!Q30+OKTOBER!Q30+NOVEMBER!Q30+DESEMBER!Q30)</f>
        <v>186</v>
      </c>
      <c r="R30" s="16">
        <f>SUM(JANUARI!R30+FEBRUARI!R30+MARET!R30+APRIL!R30+MEI!R30+JUNI!R30+JULI!R30+AGUSTUS!R30+SEPTEMBER!R30+OKTOBER!R30+NOVEMBER!R30+DESEMBER!R30)</f>
        <v>271</v>
      </c>
      <c r="S30" s="23">
        <f>SUM(JANUARI!S30+FEBRUARI!S30+MARET!S30+APRIL!S30+MEI!S30+JUNI!S30+JULI!S30+AGUSTUS!S30+SEPTEMBER!S30+OKTOBER!S30+NOVEMBER!S30+DESEMBER!S30)</f>
        <v>108</v>
      </c>
      <c r="T30" s="23">
        <f>SUM(JANUARI!T30+FEBRUARI!T30+MARET!T30+APRIL!T30+MEI!T30+JUNI!T30+JULI!T30+AGUSTUS!T30+SEPTEMBER!T30+OKTOBER!T30+NOVEMBER!T30+DESEMBER!T30)</f>
        <v>103</v>
      </c>
      <c r="U30" s="16">
        <f>SUM(JANUARI!U30+FEBRUARI!U30+MARET!U30+APRIL!U30+MEI!U30+JUNI!U30+JULI!U30+AGUSTUS!U30+SEPTEMBER!U30+OKTOBER!U30+NOVEMBER!U30+DESEMBER!U30)</f>
        <v>211</v>
      </c>
    </row>
    <row r="31">
      <c r="A31" s="19"/>
      <c r="B31" s="20" t="s">
        <v>52</v>
      </c>
      <c r="C31" s="21" t="s">
        <v>53</v>
      </c>
      <c r="D31" s="23">
        <f>SUM(JANUARI!D31+FEBRUARI!D31+MARET!D31+APRIL!D31+MEI!D31+JUNI!D31+JULI!D31+AGUSTUS!D31+SEPTEMBER!D31+OKTOBER!D31+NOVEMBER!D31+DESEMBER!D31)</f>
        <v>9</v>
      </c>
      <c r="E31" s="23">
        <f>SUM(JANUARI!E31+FEBRUARI!E31+MARET!E31+APRIL!E31+MEI!E31+JUNI!E31+JULI!E31+AGUSTUS!E31+SEPTEMBER!E31+OKTOBER!E31+NOVEMBER!E31+DESEMBER!E31)</f>
        <v>79</v>
      </c>
      <c r="F31" s="16">
        <f>SUM(JANUARI!F31+FEBRUARI!F31+MARET!F31+APRIL!F31+MEI!F31+JUNI!F31+JULI!F31+AGUSTUS!F31+SEPTEMBER!F31+OKTOBER!F31+NOVEMBER!F31+DESEMBER!F31)</f>
        <v>88</v>
      </c>
      <c r="G31" s="23">
        <f>SUM(JANUARI!G31+FEBRUARI!G31+MARET!G31+APRIL!G31+MEI!G31+JUNI!G31+JULI!G31+AGUSTUS!G31+SEPTEMBER!G31+OKTOBER!G31+NOVEMBER!G31+DESEMBER!G31)</f>
        <v>0</v>
      </c>
      <c r="H31" s="23">
        <f>SUM(JANUARI!H31+FEBRUARI!H31+MARET!H31+APRIL!H31+MEI!H31+JUNI!H31+JULI!H31+AGUSTUS!H31+SEPTEMBER!H31+OKTOBER!H31+NOVEMBER!H31+DESEMBER!H31)</f>
        <v>140</v>
      </c>
      <c r="I31" s="16">
        <f>SUM(JANUARI!I31+FEBRUARI!I31+MARET!I31+APRIL!I31+MEI!I31+JUNI!I31+JULI!I31+AGUSTUS!I31+SEPTEMBER!I31+OKTOBER!I31+NOVEMBER!I31+DESEMBER!I31)</f>
        <v>140</v>
      </c>
      <c r="J31" s="23">
        <f>SUM(JANUARI!J31+FEBRUARI!J31+MARET!J31+APRIL!J31+MEI!J31+JUNI!J31+JULI!J31+AGUSTUS!J31+SEPTEMBER!J31+OKTOBER!J31+NOVEMBER!J31+DESEMBER!J31)</f>
        <v>0</v>
      </c>
      <c r="K31" s="23">
        <f>SUM(JANUARI!K31+FEBRUARI!K31+MARET!K31+APRIL!K31+MEI!K31+JUNI!K31+JULI!K31+AGUSTUS!K31+SEPTEMBER!K31+OKTOBER!K31+NOVEMBER!K31+DESEMBER!K31)</f>
        <v>2</v>
      </c>
      <c r="L31" s="16">
        <f>SUM(JANUARI!L31+FEBRUARI!L31+MARET!L31+APRIL!L31+MEI!L31+JUNI!L31+JULI!L31+AGUSTUS!L31+SEPTEMBER!L31+OKTOBER!L31+NOVEMBER!L31+DESEMBER!L31)</f>
        <v>2</v>
      </c>
      <c r="M31" s="23">
        <f>SUM(JANUARI!M31+FEBRUARI!M31+MARET!M31+APRIL!M31+MEI!M31+JUNI!M31+JULI!M31+AGUSTUS!M31+SEPTEMBER!M31+OKTOBER!M31+NOVEMBER!M31+DESEMBER!M31)</f>
        <v>0</v>
      </c>
      <c r="N31" s="23">
        <f>SUM(JANUARI!N31+FEBRUARI!N31+MARET!N31+APRIL!N31+MEI!N31+JUNI!N31+JULI!N31+AGUSTUS!N31+SEPTEMBER!N31+OKTOBER!N31+NOVEMBER!N31+DESEMBER!N31)</f>
        <v>0</v>
      </c>
      <c r="O31" s="16">
        <f>SUM(JANUARI!O31+FEBRUARI!O31+MARET!O31+APRIL!O31+MEI!O31+JUNI!O31+JULI!O31+AGUSTUS!O31+SEPTEMBER!O31+OKTOBER!O31+NOVEMBER!O31+DESEMBER!O31)</f>
        <v>0</v>
      </c>
      <c r="P31" s="23">
        <f>SUM(JANUARI!P31+FEBRUARI!P31+MARET!P31+APRIL!P31+MEI!P31+JUNI!P31+JULI!P31+AGUSTUS!P31+SEPTEMBER!P31+OKTOBER!P31+NOVEMBER!P31+DESEMBER!P31)</f>
        <v>1</v>
      </c>
      <c r="Q31" s="23">
        <f>SUM(JANUARI!Q31+FEBRUARI!Q31+MARET!Q31+APRIL!Q31+MEI!Q31+JUNI!Q31+JULI!Q31+AGUSTUS!Q31+SEPTEMBER!Q31+OKTOBER!Q31+NOVEMBER!Q31+DESEMBER!Q31)</f>
        <v>163</v>
      </c>
      <c r="R31" s="16">
        <f>SUM(JANUARI!R31+FEBRUARI!R31+MARET!R31+APRIL!R31+MEI!R31+JUNI!R31+JULI!R31+AGUSTUS!R31+SEPTEMBER!R31+OKTOBER!R31+NOVEMBER!R31+DESEMBER!R31)</f>
        <v>164</v>
      </c>
      <c r="S31" s="23">
        <f>SUM(JANUARI!S31+FEBRUARI!S31+MARET!S31+APRIL!S31+MEI!S31+JUNI!S31+JULI!S31+AGUSTUS!S31+SEPTEMBER!S31+OKTOBER!S31+NOVEMBER!S31+DESEMBER!S31)</f>
        <v>0</v>
      </c>
      <c r="T31" s="23">
        <f>SUM(JANUARI!T31+FEBRUARI!T31+MARET!T31+APRIL!T31+MEI!T31+JUNI!T31+JULI!T31+AGUSTUS!T31+SEPTEMBER!T31+OKTOBER!T31+NOVEMBER!T31+DESEMBER!T31)</f>
        <v>38</v>
      </c>
      <c r="U31" s="16">
        <f>SUM(JANUARI!U31+FEBRUARI!U31+MARET!U31+APRIL!U31+MEI!U31+JUNI!U31+JULI!U31+AGUSTUS!U31+SEPTEMBER!U31+OKTOBER!U31+NOVEMBER!U31+DESEMBER!U31)</f>
        <v>38</v>
      </c>
    </row>
    <row r="32">
      <c r="A32" s="19"/>
      <c r="B32" s="20" t="s">
        <v>54</v>
      </c>
      <c r="C32" s="21" t="s">
        <v>55</v>
      </c>
      <c r="D32" s="23">
        <f>SUM(JANUARI!D32+FEBRUARI!D32+MARET!D32+APRIL!D32+MEI!D32+JUNI!D32+JULI!D32+AGUSTUS!D32+SEPTEMBER!D32+OKTOBER!D32+NOVEMBER!D32+DESEMBER!D32)</f>
        <v>14</v>
      </c>
      <c r="E32" s="23">
        <f>SUM(JANUARI!E32+FEBRUARI!E32+MARET!E32+APRIL!E32+MEI!E32+JUNI!E32+JULI!E32+AGUSTUS!E32+SEPTEMBER!E32+OKTOBER!E32+NOVEMBER!E32+DESEMBER!E32)</f>
        <v>144</v>
      </c>
      <c r="F32" s="16">
        <f>SUM(JANUARI!F32+FEBRUARI!F32+MARET!F32+APRIL!F32+MEI!F32+JUNI!F32+JULI!F32+AGUSTUS!F32+SEPTEMBER!F32+OKTOBER!F32+NOVEMBER!F32+DESEMBER!F32)</f>
        <v>158</v>
      </c>
      <c r="G32" s="23">
        <f>SUM(JANUARI!G32+FEBRUARI!G32+MARET!G32+APRIL!G32+MEI!G32+JUNI!G32+JULI!G32+AGUSTUS!G32+SEPTEMBER!G32+OKTOBER!G32+NOVEMBER!G32+DESEMBER!G32)</f>
        <v>9</v>
      </c>
      <c r="H32" s="23">
        <f>SUM(JANUARI!H32+FEBRUARI!H32+MARET!H32+APRIL!H32+MEI!H32+JUNI!H32+JULI!H32+AGUSTUS!H32+SEPTEMBER!H32+OKTOBER!H32+NOVEMBER!H32+DESEMBER!H32)</f>
        <v>182</v>
      </c>
      <c r="I32" s="16">
        <f>SUM(JANUARI!I32+FEBRUARI!I32+MARET!I32+APRIL!I32+MEI!I32+JUNI!I32+JULI!I32+AGUSTUS!I32+SEPTEMBER!I32+OKTOBER!I32+NOVEMBER!I32+DESEMBER!I32)</f>
        <v>191</v>
      </c>
      <c r="J32" s="23">
        <f>SUM(JANUARI!J32+FEBRUARI!J32+MARET!J32+APRIL!J32+MEI!J32+JUNI!J32+JULI!J32+AGUSTUS!J32+SEPTEMBER!J32+OKTOBER!J32+NOVEMBER!J32+DESEMBER!J32)</f>
        <v>25</v>
      </c>
      <c r="K32" s="23">
        <f>SUM(JANUARI!K32+FEBRUARI!K32+MARET!K32+APRIL!K32+MEI!K32+JUNI!K32+JULI!K32+AGUSTUS!K32+SEPTEMBER!K32+OKTOBER!K32+NOVEMBER!K32+DESEMBER!K32)</f>
        <v>165</v>
      </c>
      <c r="L32" s="16">
        <f>SUM(JANUARI!L32+FEBRUARI!L32+MARET!L32+APRIL!L32+MEI!L32+JUNI!L32+JULI!L32+AGUSTUS!L32+SEPTEMBER!L32+OKTOBER!L32+NOVEMBER!L32+DESEMBER!L32)</f>
        <v>190</v>
      </c>
      <c r="M32" s="23">
        <f>SUM(JANUARI!M32+FEBRUARI!M32+MARET!M32+APRIL!M32+MEI!M32+JUNI!M32+JULI!M32+AGUSTUS!M32+SEPTEMBER!M32+OKTOBER!M32+NOVEMBER!M32+DESEMBER!M32)</f>
        <v>4</v>
      </c>
      <c r="N32" s="23">
        <f>SUM(JANUARI!N32+FEBRUARI!N32+MARET!N32+APRIL!N32+MEI!N32+JUNI!N32+JULI!N32+AGUSTUS!N32+SEPTEMBER!N32+OKTOBER!N32+NOVEMBER!N32+DESEMBER!N32)</f>
        <v>80</v>
      </c>
      <c r="O32" s="16">
        <f>SUM(JANUARI!O32+FEBRUARI!O32+MARET!O32+APRIL!O32+MEI!O32+JUNI!O32+JULI!O32+AGUSTUS!O32+SEPTEMBER!O32+OKTOBER!O32+NOVEMBER!O32+DESEMBER!O32)</f>
        <v>84</v>
      </c>
      <c r="P32" s="23">
        <f>SUM(JANUARI!P32+FEBRUARI!P32+MARET!P32+APRIL!P32+MEI!P32+JUNI!P32+JULI!P32+AGUSTUS!P32+SEPTEMBER!P32+OKTOBER!P32+NOVEMBER!P32+DESEMBER!P32)</f>
        <v>60</v>
      </c>
      <c r="Q32" s="23">
        <f>SUM(JANUARI!Q32+FEBRUARI!Q32+MARET!Q32+APRIL!Q32+MEI!Q32+JUNI!Q32+JULI!Q32+AGUSTUS!Q32+SEPTEMBER!Q32+OKTOBER!Q32+NOVEMBER!Q32+DESEMBER!Q32)</f>
        <v>193</v>
      </c>
      <c r="R32" s="16">
        <f>SUM(JANUARI!R32+FEBRUARI!R32+MARET!R32+APRIL!R32+MEI!R32+JUNI!R32+JULI!R32+AGUSTUS!R32+SEPTEMBER!R32+OKTOBER!R32+NOVEMBER!R32+DESEMBER!R32)</f>
        <v>253</v>
      </c>
      <c r="S32" s="23">
        <f>SUM(JANUARI!S32+FEBRUARI!S32+MARET!S32+APRIL!S32+MEI!S32+JUNI!S32+JULI!S32+AGUSTUS!S32+SEPTEMBER!S32+OKTOBER!S32+NOVEMBER!S32+DESEMBER!S32)</f>
        <v>0</v>
      </c>
      <c r="T32" s="23">
        <f>SUM(JANUARI!T32+FEBRUARI!T32+MARET!T32+APRIL!T32+MEI!T32+JUNI!T32+JULI!T32+AGUSTUS!T32+SEPTEMBER!T32+OKTOBER!T32+NOVEMBER!T32+DESEMBER!T32)</f>
        <v>52</v>
      </c>
      <c r="U32" s="16">
        <f>SUM(JANUARI!U32+FEBRUARI!U32+MARET!U32+APRIL!U32+MEI!U32+JUNI!U32+JULI!U32+AGUSTUS!U32+SEPTEMBER!U32+OKTOBER!U32+NOVEMBER!U32+DESEMBER!U32)</f>
        <v>52</v>
      </c>
    </row>
    <row r="33">
      <c r="A33" s="19"/>
      <c r="B33" s="20" t="s">
        <v>56</v>
      </c>
      <c r="C33" s="21" t="s">
        <v>57</v>
      </c>
      <c r="D33" s="23">
        <f>SUM(JANUARI!D33+FEBRUARI!D33+MARET!D33+APRIL!D33+MEI!D33+JUNI!D33+JULI!D33+AGUSTUS!D33+SEPTEMBER!D33+OKTOBER!D33+NOVEMBER!D33+DESEMBER!D33)</f>
        <v>12</v>
      </c>
      <c r="E33" s="23">
        <f>SUM(JANUARI!E33+FEBRUARI!E33+MARET!E33+APRIL!E33+MEI!E33+JUNI!E33+JULI!E33+AGUSTUS!E33+SEPTEMBER!E33+OKTOBER!E33+NOVEMBER!E33+DESEMBER!E33)</f>
        <v>144</v>
      </c>
      <c r="F33" s="16">
        <f>SUM(JANUARI!F33+FEBRUARI!F33+MARET!F33+APRIL!F33+MEI!F33+JUNI!F33+JULI!F33+AGUSTUS!F33+SEPTEMBER!F33+OKTOBER!F33+NOVEMBER!F33+DESEMBER!F33)</f>
        <v>156</v>
      </c>
      <c r="G33" s="23">
        <f>SUM(JANUARI!G33+FEBRUARI!G33+MARET!G33+APRIL!G33+MEI!G33+JUNI!G33+JULI!G33+AGUSTUS!G33+SEPTEMBER!G33+OKTOBER!G33+NOVEMBER!G33+DESEMBER!G33)</f>
        <v>8</v>
      </c>
      <c r="H33" s="23">
        <f>SUM(JANUARI!H33+FEBRUARI!H33+MARET!H33+APRIL!H33+MEI!H33+JUNI!H33+JULI!H33+AGUSTUS!H33+SEPTEMBER!H33+OKTOBER!H33+NOVEMBER!H33+DESEMBER!H33)</f>
        <v>182</v>
      </c>
      <c r="I33" s="16">
        <f>SUM(JANUARI!I33+FEBRUARI!I33+MARET!I33+APRIL!I33+MEI!I33+JUNI!I33+JULI!I33+AGUSTUS!I33+SEPTEMBER!I33+OKTOBER!I33+NOVEMBER!I33+DESEMBER!I33)</f>
        <v>190</v>
      </c>
      <c r="J33" s="23">
        <f>SUM(JANUARI!J33+FEBRUARI!J33+MARET!J33+APRIL!J33+MEI!J33+JUNI!J33+JULI!J33+AGUSTUS!J33+SEPTEMBER!J33+OKTOBER!J33+NOVEMBER!J33+DESEMBER!J33)</f>
        <v>2</v>
      </c>
      <c r="K33" s="23">
        <f>SUM(JANUARI!K33+FEBRUARI!K33+MARET!K33+APRIL!K33+MEI!K33+JUNI!K33+JULI!K33+AGUSTUS!K33+SEPTEMBER!K33+OKTOBER!K33+NOVEMBER!K33+DESEMBER!K33)</f>
        <v>143</v>
      </c>
      <c r="L33" s="16">
        <f>SUM(JANUARI!L33+FEBRUARI!L33+MARET!L33+APRIL!L33+MEI!L33+JUNI!L33+JULI!L33+AGUSTUS!L33+SEPTEMBER!L33+OKTOBER!L33+NOVEMBER!L33+DESEMBER!L33)</f>
        <v>145</v>
      </c>
      <c r="M33" s="23">
        <f>SUM(JANUARI!M33+FEBRUARI!M33+MARET!M33+APRIL!M33+MEI!M33+JUNI!M33+JULI!M33+AGUSTUS!M33+SEPTEMBER!M33+OKTOBER!M33+NOVEMBER!M33+DESEMBER!M33)</f>
        <v>7</v>
      </c>
      <c r="N33" s="23">
        <f>SUM(JANUARI!N33+FEBRUARI!N33+MARET!N33+APRIL!N33+MEI!N33+JUNI!N33+JULI!N33+AGUSTUS!N33+SEPTEMBER!N33+OKTOBER!N33+NOVEMBER!N33+DESEMBER!N33)</f>
        <v>75</v>
      </c>
      <c r="O33" s="16">
        <f>SUM(JANUARI!O33+FEBRUARI!O33+MARET!O33+APRIL!O33+MEI!O33+JUNI!O33+JULI!O33+AGUSTUS!O33+SEPTEMBER!O33+OKTOBER!O33+NOVEMBER!O33+DESEMBER!O33)</f>
        <v>82</v>
      </c>
      <c r="P33" s="23">
        <f>SUM(JANUARI!P33+FEBRUARI!P33+MARET!P33+APRIL!P33+MEI!P33+JUNI!P33+JULI!P33+AGUSTUS!P33+SEPTEMBER!P33+OKTOBER!P33+NOVEMBER!P33+DESEMBER!P33)</f>
        <v>60</v>
      </c>
      <c r="Q33" s="23">
        <f>SUM(JANUARI!Q33+FEBRUARI!Q33+MARET!Q33+APRIL!Q33+MEI!Q33+JUNI!Q33+JULI!Q33+AGUSTUS!Q33+SEPTEMBER!Q33+OKTOBER!Q33+NOVEMBER!Q33+DESEMBER!Q33)</f>
        <v>193</v>
      </c>
      <c r="R33" s="16">
        <f>SUM(JANUARI!R33+FEBRUARI!R33+MARET!R33+APRIL!R33+MEI!R33+JUNI!R33+JULI!R33+AGUSTUS!R33+SEPTEMBER!R33+OKTOBER!R33+NOVEMBER!R33+DESEMBER!R33)</f>
        <v>253</v>
      </c>
      <c r="S33" s="23">
        <f>SUM(JANUARI!S33+FEBRUARI!S33+MARET!S33+APRIL!S33+MEI!S33+JUNI!S33+JULI!S33+AGUSTUS!S33+SEPTEMBER!S33+OKTOBER!S33+NOVEMBER!S33+DESEMBER!S33)</f>
        <v>0</v>
      </c>
      <c r="T33" s="23">
        <f>SUM(JANUARI!T33+FEBRUARI!T33+MARET!T33+APRIL!T33+MEI!T33+JUNI!T33+JULI!T33+AGUSTUS!T33+SEPTEMBER!T33+OKTOBER!T33+NOVEMBER!T33+DESEMBER!T33)</f>
        <v>52</v>
      </c>
      <c r="U33" s="16">
        <f>SUM(JANUARI!U33+FEBRUARI!U33+MARET!U33+APRIL!U33+MEI!U33+JUNI!U33+JULI!U33+AGUSTUS!U33+SEPTEMBER!U33+OKTOBER!U33+NOVEMBER!U33+DESEMBER!U33)</f>
        <v>52</v>
      </c>
    </row>
    <row r="34">
      <c r="A34" s="19"/>
      <c r="B34" s="20" t="s">
        <v>58</v>
      </c>
      <c r="C34" s="21" t="s">
        <v>59</v>
      </c>
      <c r="D34" s="23">
        <f>SUM(JANUARI!D34+FEBRUARI!D34+MARET!D34+APRIL!D34+MEI!D34+JUNI!D34+JULI!D34+AGUSTUS!D34+SEPTEMBER!D34+OKTOBER!D34+NOVEMBER!D34+DESEMBER!D34)</f>
        <v>78</v>
      </c>
      <c r="E34" s="23">
        <f>SUM(JANUARI!E34+FEBRUARI!E34+MARET!E34+APRIL!E34+MEI!E34+JUNI!E34+JULI!E34+AGUSTUS!E34+SEPTEMBER!E34+OKTOBER!E34+NOVEMBER!E34+DESEMBER!E34)</f>
        <v>216</v>
      </c>
      <c r="F34" s="16">
        <f>SUM(JANUARI!F34+FEBRUARI!F34+MARET!F34+APRIL!F34+MEI!F34+JUNI!F34+JULI!F34+AGUSTUS!F34+SEPTEMBER!F34+OKTOBER!F34+NOVEMBER!F34+DESEMBER!F34)</f>
        <v>294</v>
      </c>
      <c r="G34" s="23">
        <f>SUM(JANUARI!G34+FEBRUARI!G34+MARET!G34+APRIL!G34+MEI!G34+JUNI!G34+JULI!G34+AGUSTUS!G34+SEPTEMBER!G34+OKTOBER!G34+NOVEMBER!G34+DESEMBER!G34)</f>
        <v>10</v>
      </c>
      <c r="H34" s="23">
        <f>SUM(JANUARI!H34+FEBRUARI!H34+MARET!H34+APRIL!H34+MEI!H34+JUNI!H34+JULI!H34+AGUSTUS!H34+SEPTEMBER!H34+OKTOBER!H34+NOVEMBER!H34+DESEMBER!H34)</f>
        <v>189</v>
      </c>
      <c r="I34" s="16">
        <f>SUM(JANUARI!I34+FEBRUARI!I34+MARET!I34+APRIL!I34+MEI!I34+JUNI!I34+JULI!I34+AGUSTUS!I34+SEPTEMBER!I34+OKTOBER!I34+NOVEMBER!I34+DESEMBER!I34)</f>
        <v>199</v>
      </c>
      <c r="J34" s="23">
        <f>SUM(JANUARI!J34+FEBRUARI!J34+MARET!J34+APRIL!J34+MEI!J34+JUNI!J34+JULI!J34+AGUSTUS!J34+SEPTEMBER!J34+OKTOBER!J34+NOVEMBER!J34+DESEMBER!J34)</f>
        <v>9</v>
      </c>
      <c r="K34" s="23">
        <f>SUM(JANUARI!K34+FEBRUARI!K34+MARET!K34+APRIL!K34+MEI!K34+JUNI!K34+JULI!K34+AGUSTUS!K34+SEPTEMBER!K34+OKTOBER!K34+NOVEMBER!K34+DESEMBER!K34)</f>
        <v>144</v>
      </c>
      <c r="L34" s="16">
        <f>SUM(JANUARI!L34+FEBRUARI!L34+MARET!L34+APRIL!L34+MEI!L34+JUNI!L34+JULI!L34+AGUSTUS!L34+SEPTEMBER!L34+OKTOBER!L34+NOVEMBER!L34+DESEMBER!L34)</f>
        <v>153</v>
      </c>
      <c r="M34" s="23">
        <f>SUM(JANUARI!M34+FEBRUARI!M34+MARET!M34+APRIL!M34+MEI!M34+JUNI!M34+JULI!M34+AGUSTUS!M34+SEPTEMBER!M34+OKTOBER!M34+NOVEMBER!M34+DESEMBER!M34)</f>
        <v>9</v>
      </c>
      <c r="N34" s="23">
        <f>SUM(JANUARI!N34+FEBRUARI!N34+MARET!N34+APRIL!N34+MEI!N34+JUNI!N34+JULI!N34+AGUSTUS!N34+SEPTEMBER!N34+OKTOBER!N34+NOVEMBER!N34+DESEMBER!N34)</f>
        <v>78</v>
      </c>
      <c r="O34" s="16">
        <f>SUM(JANUARI!O34+FEBRUARI!O34+MARET!O34+APRIL!O34+MEI!O34+JUNI!O34+JULI!O34+AGUSTUS!O34+SEPTEMBER!O34+OKTOBER!O34+NOVEMBER!O34+DESEMBER!O34)</f>
        <v>87</v>
      </c>
      <c r="P34" s="23">
        <f>SUM(JANUARI!P34+FEBRUARI!P34+MARET!P34+APRIL!P34+MEI!P34+JUNI!P34+JULI!P34+AGUSTUS!P34+SEPTEMBER!P34+OKTOBER!P34+NOVEMBER!P34+DESEMBER!P34)</f>
        <v>66</v>
      </c>
      <c r="Q34" s="23">
        <f>SUM(JANUARI!Q34+FEBRUARI!Q34+MARET!Q34+APRIL!Q34+MEI!Q34+JUNI!Q34+JULI!Q34+AGUSTUS!Q34+SEPTEMBER!Q34+OKTOBER!Q34+NOVEMBER!Q34+DESEMBER!Q34)</f>
        <v>193</v>
      </c>
      <c r="R34" s="16">
        <f>SUM(JANUARI!R34+FEBRUARI!R34+MARET!R34+APRIL!R34+MEI!R34+JUNI!R34+JULI!R34+AGUSTUS!R34+SEPTEMBER!R34+OKTOBER!R34+NOVEMBER!R34+DESEMBER!R34)</f>
        <v>259</v>
      </c>
      <c r="S34" s="23">
        <f>SUM(JANUARI!S34+FEBRUARI!S34+MARET!S34+APRIL!S34+MEI!S34+JUNI!S34+JULI!S34+AGUSTUS!S34+SEPTEMBER!S34+OKTOBER!S34+NOVEMBER!S34+DESEMBER!S34)</f>
        <v>0</v>
      </c>
      <c r="T34" s="23">
        <f>SUM(JANUARI!T34+FEBRUARI!T34+MARET!T34+APRIL!T34+MEI!T34+JUNI!T34+JULI!T34+AGUSTUS!T34+SEPTEMBER!T34+OKTOBER!T34+NOVEMBER!T34+DESEMBER!T34)</f>
        <v>55</v>
      </c>
      <c r="U34" s="16">
        <f>SUM(JANUARI!U34+FEBRUARI!U34+MARET!U34+APRIL!U34+MEI!U34+JUNI!U34+JULI!U34+AGUSTUS!U34+SEPTEMBER!U34+OKTOBER!U34+NOVEMBER!U34+DESEMBER!U34)</f>
        <v>55</v>
      </c>
    </row>
    <row r="35">
      <c r="A35" s="19"/>
      <c r="B35" s="20" t="s">
        <v>60</v>
      </c>
      <c r="C35" s="21" t="s">
        <v>61</v>
      </c>
      <c r="D35" s="23">
        <f>SUM(JANUARI!D35+FEBRUARI!D35+MARET!D35+APRIL!D35+MEI!D35+JUNI!D35+JULI!D35+AGUSTUS!D35+SEPTEMBER!D35+OKTOBER!D35+NOVEMBER!D35+DESEMBER!D35)</f>
        <v>7</v>
      </c>
      <c r="E35" s="23">
        <f>SUM(JANUARI!E35+FEBRUARI!E35+MARET!E35+APRIL!E35+MEI!E35+JUNI!E35+JULI!E35+AGUSTUS!E35+SEPTEMBER!E35+OKTOBER!E35+NOVEMBER!E35+DESEMBER!E35)</f>
        <v>131</v>
      </c>
      <c r="F35" s="16">
        <f>SUM(JANUARI!F35+FEBRUARI!F35+MARET!F35+APRIL!F35+MEI!F35+JUNI!F35+JULI!F35+AGUSTUS!F35+SEPTEMBER!F35+OKTOBER!F35+NOVEMBER!F35+DESEMBER!F35)</f>
        <v>138</v>
      </c>
      <c r="G35" s="23">
        <f>SUM(JANUARI!G35+FEBRUARI!G35+MARET!G35+APRIL!G35+MEI!G35+JUNI!G35+JULI!G35+AGUSTUS!G35+SEPTEMBER!G35+OKTOBER!G35+NOVEMBER!G35+DESEMBER!G35)</f>
        <v>0</v>
      </c>
      <c r="H35" s="23">
        <f>SUM(JANUARI!H35+FEBRUARI!H35+MARET!H35+APRIL!H35+MEI!H35+JUNI!H35+JULI!H35+AGUSTUS!H35+SEPTEMBER!H35+OKTOBER!H35+NOVEMBER!H35+DESEMBER!H35)</f>
        <v>0</v>
      </c>
      <c r="I35" s="16">
        <f>SUM(JANUARI!I35+FEBRUARI!I35+MARET!I35+APRIL!I35+MEI!I35+JUNI!I35+JULI!I35+AGUSTUS!I35+SEPTEMBER!I35+OKTOBER!I35+NOVEMBER!I35+DESEMBER!I35)</f>
        <v>0</v>
      </c>
      <c r="J35" s="23">
        <f>SUM(JANUARI!J35+FEBRUARI!J35+MARET!J35+APRIL!J35+MEI!J35+JUNI!J35+JULI!J35+AGUSTUS!J35+SEPTEMBER!J35+OKTOBER!J35+NOVEMBER!J35+DESEMBER!J35)</f>
        <v>0</v>
      </c>
      <c r="K35" s="23">
        <f>SUM(JANUARI!K35+FEBRUARI!K35+MARET!K35+APRIL!K35+MEI!K35+JUNI!K35+JULI!K35+AGUSTUS!K35+SEPTEMBER!K35+OKTOBER!K35+NOVEMBER!K35+DESEMBER!K35)</f>
        <v>0</v>
      </c>
      <c r="L35" s="16">
        <f>SUM(JANUARI!L35+FEBRUARI!L35+MARET!L35+APRIL!L35+MEI!L35+JUNI!L35+JULI!L35+AGUSTUS!L35+SEPTEMBER!L35+OKTOBER!L35+NOVEMBER!L35+DESEMBER!L35)</f>
        <v>0</v>
      </c>
      <c r="M35" s="23">
        <f>SUM(JANUARI!M35+FEBRUARI!M35+MARET!M35+APRIL!M35+MEI!M35+JUNI!M35+JULI!M35+AGUSTUS!M35+SEPTEMBER!M35+OKTOBER!M35+NOVEMBER!M35+DESEMBER!M35)</f>
        <v>7</v>
      </c>
      <c r="N35" s="23">
        <f>SUM(JANUARI!N35+FEBRUARI!N35+MARET!N35+APRIL!N35+MEI!N35+JUNI!N35+JULI!N35+AGUSTUS!N35+SEPTEMBER!N35+OKTOBER!N35+NOVEMBER!N35+DESEMBER!N35)</f>
        <v>89</v>
      </c>
      <c r="O35" s="16">
        <f>SUM(JANUARI!O35+FEBRUARI!O35+MARET!O35+APRIL!O35+MEI!O35+JUNI!O35+JULI!O35+AGUSTUS!O35+SEPTEMBER!O35+OKTOBER!O35+NOVEMBER!O35+DESEMBER!O35)</f>
        <v>96</v>
      </c>
      <c r="P35" s="23">
        <f>SUM(JANUARI!P35+FEBRUARI!P35+MARET!P35+APRIL!P35+MEI!P35+JUNI!P35+JULI!P35+AGUSTUS!P35+SEPTEMBER!P35+OKTOBER!P35+NOVEMBER!P35+DESEMBER!P35)</f>
        <v>42</v>
      </c>
      <c r="Q35" s="23">
        <f>SUM(JANUARI!Q35+FEBRUARI!Q35+MARET!Q35+APRIL!Q35+MEI!Q35+JUNI!Q35+JULI!Q35+AGUSTUS!Q35+SEPTEMBER!Q35+OKTOBER!Q35+NOVEMBER!Q35+DESEMBER!Q35)</f>
        <v>119</v>
      </c>
      <c r="R35" s="16">
        <f>SUM(JANUARI!R35+FEBRUARI!R35+MARET!R35+APRIL!R35+MEI!R35+JUNI!R35+JULI!R35+AGUSTUS!R35+SEPTEMBER!R35+OKTOBER!R35+NOVEMBER!R35+DESEMBER!R35)</f>
        <v>161</v>
      </c>
      <c r="S35" s="23">
        <f>SUM(JANUARI!S35+FEBRUARI!S35+MARET!S35+APRIL!S35+MEI!S35+JUNI!S35+JULI!S35+AGUSTUS!S35+SEPTEMBER!S35+OKTOBER!S35+NOVEMBER!S35+DESEMBER!S35)</f>
        <v>3</v>
      </c>
      <c r="T35" s="23">
        <f>SUM(JANUARI!T35+FEBRUARI!T35+MARET!T35+APRIL!T35+MEI!T35+JUNI!T35+JULI!T35+AGUSTUS!T35+SEPTEMBER!T35+OKTOBER!T35+NOVEMBER!T35+DESEMBER!T35)</f>
        <v>31</v>
      </c>
      <c r="U35" s="16">
        <f>SUM(JANUARI!U35+FEBRUARI!U35+MARET!U35+APRIL!U35+MEI!U35+JUNI!U35+JULI!U35+AGUSTUS!U35+SEPTEMBER!U35+OKTOBER!U35+NOVEMBER!U35+DESEMBER!U35)</f>
        <v>34</v>
      </c>
    </row>
    <row r="36">
      <c r="A36" s="19"/>
      <c r="B36" s="20" t="s">
        <v>62</v>
      </c>
      <c r="C36" s="21" t="s">
        <v>63</v>
      </c>
      <c r="D36" s="23">
        <f>SUM(JANUARI!D36+FEBRUARI!D36+MARET!D36+APRIL!D36+MEI!D36+JUNI!D36+JULI!D36+AGUSTUS!D36+SEPTEMBER!D36+OKTOBER!D36+NOVEMBER!D36+DESEMBER!D36)</f>
        <v>0</v>
      </c>
      <c r="E36" s="23">
        <f>SUM(JANUARI!E36+FEBRUARI!E36+MARET!E36+APRIL!E36+MEI!E36+JUNI!E36+JULI!E36+AGUSTUS!E36+SEPTEMBER!E36+OKTOBER!E36+NOVEMBER!E36+DESEMBER!E36)</f>
        <v>0</v>
      </c>
      <c r="F36" s="16">
        <f>SUM(JANUARI!F36+FEBRUARI!F36+MARET!F36+APRIL!F36+MEI!F36+JUNI!F36+JULI!F36+AGUSTUS!F36+SEPTEMBER!F36+OKTOBER!F36+NOVEMBER!F36+DESEMBER!F36)</f>
        <v>0</v>
      </c>
      <c r="G36" s="23">
        <f>SUM(JANUARI!G36+FEBRUARI!G36+MARET!G36+APRIL!G36+MEI!G36+JUNI!G36+JULI!G36+AGUSTUS!G36+SEPTEMBER!G36+OKTOBER!G36+NOVEMBER!G36+DESEMBER!G36)</f>
        <v>0</v>
      </c>
      <c r="H36" s="23">
        <f>SUM(JANUARI!H36+FEBRUARI!H36+MARET!H36+APRIL!H36+MEI!H36+JUNI!H36+JULI!H36+AGUSTUS!H36+SEPTEMBER!H36+OKTOBER!H36+NOVEMBER!H36+DESEMBER!H36)</f>
        <v>0</v>
      </c>
      <c r="I36" s="16">
        <f>SUM(JANUARI!I36+FEBRUARI!I36+MARET!I36+APRIL!I36+MEI!I36+JUNI!I36+JULI!I36+AGUSTUS!I36+SEPTEMBER!I36+OKTOBER!I36+NOVEMBER!I36+DESEMBER!I36)</f>
        <v>0</v>
      </c>
      <c r="J36" s="23">
        <f>SUM(JANUARI!J36+FEBRUARI!J36+MARET!J36+APRIL!J36+MEI!J36+JUNI!J36+JULI!J36+AGUSTUS!J36+SEPTEMBER!J36+OKTOBER!J36+NOVEMBER!J36+DESEMBER!J36)</f>
        <v>0</v>
      </c>
      <c r="K36" s="23">
        <f>SUM(JANUARI!K36+FEBRUARI!K36+MARET!K36+APRIL!K36+MEI!K36+JUNI!K36+JULI!K36+AGUSTUS!K36+SEPTEMBER!K36+OKTOBER!K36+NOVEMBER!K36+DESEMBER!K36)</f>
        <v>0</v>
      </c>
      <c r="L36" s="16">
        <f>SUM(JANUARI!L36+FEBRUARI!L36+MARET!L36+APRIL!L36+MEI!L36+JUNI!L36+JULI!L36+AGUSTUS!L36+SEPTEMBER!L36+OKTOBER!L36+NOVEMBER!L36+DESEMBER!L36)</f>
        <v>0</v>
      </c>
      <c r="M36" s="23">
        <f>SUM(JANUARI!M36+FEBRUARI!M36+MARET!M36+APRIL!M36+MEI!M36+JUNI!M36+JULI!M36+AGUSTUS!M36+SEPTEMBER!M36+OKTOBER!M36+NOVEMBER!M36+DESEMBER!M36)</f>
        <v>0</v>
      </c>
      <c r="N36" s="23">
        <f>SUM(JANUARI!N36+FEBRUARI!N36+MARET!N36+APRIL!N36+MEI!N36+JUNI!N36+JULI!N36+AGUSTUS!N36+SEPTEMBER!N36+OKTOBER!N36+NOVEMBER!N36+DESEMBER!N36)</f>
        <v>0</v>
      </c>
      <c r="O36" s="16">
        <f>SUM(JANUARI!O36+FEBRUARI!O36+MARET!O36+APRIL!O36+MEI!O36+JUNI!O36+JULI!O36+AGUSTUS!O36+SEPTEMBER!O36+OKTOBER!O36+NOVEMBER!O36+DESEMBER!O36)</f>
        <v>0</v>
      </c>
      <c r="P36" s="23">
        <f>SUM(JANUARI!P36+FEBRUARI!P36+MARET!P36+APRIL!P36+MEI!P36+JUNI!P36+JULI!P36+AGUSTUS!P36+SEPTEMBER!P36+OKTOBER!P36+NOVEMBER!P36+DESEMBER!P36)</f>
        <v>0</v>
      </c>
      <c r="Q36" s="23">
        <f>SUM(JANUARI!Q36+FEBRUARI!Q36+MARET!Q36+APRIL!Q36+MEI!Q36+JUNI!Q36+JULI!Q36+AGUSTUS!Q36+SEPTEMBER!Q36+OKTOBER!Q36+NOVEMBER!Q36+DESEMBER!Q36)</f>
        <v>0</v>
      </c>
      <c r="R36" s="16">
        <f>SUM(JANUARI!R36+FEBRUARI!R36+MARET!R36+APRIL!R36+MEI!R36+JUNI!R36+JULI!R36+AGUSTUS!R36+SEPTEMBER!R36+OKTOBER!R36+NOVEMBER!R36+DESEMBER!R36)</f>
        <v>0</v>
      </c>
      <c r="S36" s="23">
        <f>SUM(JANUARI!S36+FEBRUARI!S36+MARET!S36+APRIL!S36+MEI!S36+JUNI!S36+JULI!S36+AGUSTUS!S36+SEPTEMBER!S36+OKTOBER!S36+NOVEMBER!S36+DESEMBER!S36)</f>
        <v>0</v>
      </c>
      <c r="T36" s="23">
        <f>SUM(JANUARI!T36+FEBRUARI!T36+MARET!T36+APRIL!T36+MEI!T36+JUNI!T36+JULI!T36+AGUSTUS!T36+SEPTEMBER!T36+OKTOBER!T36+NOVEMBER!T36+DESEMBER!T36)</f>
        <v>0</v>
      </c>
      <c r="U36" s="16">
        <f>SUM(JANUARI!U36+FEBRUARI!U36+MARET!U36+APRIL!U36+MEI!U36+JUNI!U36+JULI!U36+AGUSTUS!U36+SEPTEMBER!U36+OKTOBER!U36+NOVEMBER!U36+DESEMBER!U36)</f>
        <v>0</v>
      </c>
    </row>
    <row r="37">
      <c r="A37" s="19"/>
      <c r="B37" s="20" t="s">
        <v>64</v>
      </c>
      <c r="C37" s="21" t="s">
        <v>65</v>
      </c>
      <c r="D37" s="23">
        <f>SUM(JANUARI!D37+FEBRUARI!D37+MARET!D37+APRIL!D37+MEI!D37+JUNI!D37+JULI!D37+AGUSTUS!D37+SEPTEMBER!D37+OKTOBER!D37+NOVEMBER!D37+DESEMBER!D37)</f>
        <v>0</v>
      </c>
      <c r="E37" s="23">
        <f>SUM(JANUARI!E37+FEBRUARI!E37+MARET!E37+APRIL!E37+MEI!E37+JUNI!E37+JULI!E37+AGUSTUS!E37+SEPTEMBER!E37+OKTOBER!E37+NOVEMBER!E37+DESEMBER!E37)</f>
        <v>0</v>
      </c>
      <c r="F37" s="16">
        <f>SUM(JANUARI!F37+FEBRUARI!F37+MARET!F37+APRIL!F37+MEI!F37+JUNI!F37+JULI!F37+AGUSTUS!F37+SEPTEMBER!F37+OKTOBER!F37+NOVEMBER!F37+DESEMBER!F37)</f>
        <v>0</v>
      </c>
      <c r="G37" s="23">
        <f>SUM(JANUARI!G37+FEBRUARI!G37+MARET!G37+APRIL!G37+MEI!G37+JUNI!G37+JULI!G37+AGUSTUS!G37+SEPTEMBER!G37+OKTOBER!G37+NOVEMBER!G37+DESEMBER!G37)</f>
        <v>8</v>
      </c>
      <c r="H37" s="23">
        <f>SUM(JANUARI!H37+FEBRUARI!H37+MARET!H37+APRIL!H37+MEI!H37+JUNI!H37+JULI!H37+AGUSTUS!H37+SEPTEMBER!H37+OKTOBER!H37+NOVEMBER!H37+DESEMBER!H37)</f>
        <v>8</v>
      </c>
      <c r="I37" s="16">
        <f>SUM(JANUARI!I37+FEBRUARI!I37+MARET!I37+APRIL!I37+MEI!I37+JUNI!I37+JULI!I37+AGUSTUS!I37+SEPTEMBER!I37+OKTOBER!I37+NOVEMBER!I37+DESEMBER!I37)</f>
        <v>16</v>
      </c>
      <c r="J37" s="23">
        <f>SUM(JANUARI!J37+FEBRUARI!J37+MARET!J37+APRIL!J37+MEI!J37+JUNI!J37+JULI!J37+AGUSTUS!J37+SEPTEMBER!J37+OKTOBER!J37+NOVEMBER!J37+DESEMBER!J37)</f>
        <v>0</v>
      </c>
      <c r="K37" s="23">
        <f>SUM(JANUARI!K37+FEBRUARI!K37+MARET!K37+APRIL!K37+MEI!K37+JUNI!K37+JULI!K37+AGUSTUS!K37+SEPTEMBER!K37+OKTOBER!K37+NOVEMBER!K37+DESEMBER!K37)</f>
        <v>0</v>
      </c>
      <c r="L37" s="16">
        <f>SUM(JANUARI!L37+FEBRUARI!L37+MARET!L37+APRIL!L37+MEI!L37+JUNI!L37+JULI!L37+AGUSTUS!L37+SEPTEMBER!L37+OKTOBER!L37+NOVEMBER!L37+DESEMBER!L37)</f>
        <v>0</v>
      </c>
      <c r="M37" s="23">
        <f>SUM(JANUARI!M37+FEBRUARI!M37+MARET!M37+APRIL!M37+MEI!M37+JUNI!M37+JULI!M37+AGUSTUS!M37+SEPTEMBER!M37+OKTOBER!M37+NOVEMBER!M37+DESEMBER!M37)</f>
        <v>9</v>
      </c>
      <c r="N37" s="23">
        <f>SUM(JANUARI!N37+FEBRUARI!N37+MARET!N37+APRIL!N37+MEI!N37+JUNI!N37+JULI!N37+AGUSTUS!N37+SEPTEMBER!N37+OKTOBER!N37+NOVEMBER!N37+DESEMBER!N37)</f>
        <v>10</v>
      </c>
      <c r="O37" s="16">
        <f>SUM(JANUARI!O37+FEBRUARI!O37+MARET!O37+APRIL!O37+MEI!O37+JUNI!O37+JULI!O37+AGUSTUS!O37+SEPTEMBER!O37+OKTOBER!O37+NOVEMBER!O37+DESEMBER!O37)</f>
        <v>19</v>
      </c>
      <c r="P37" s="23">
        <f>SUM(JANUARI!P37+FEBRUARI!P37+MARET!P37+APRIL!P37+MEI!P37+JUNI!P37+JULI!P37+AGUSTUS!P37+SEPTEMBER!P37+OKTOBER!P37+NOVEMBER!P37+DESEMBER!P37)</f>
        <v>0</v>
      </c>
      <c r="Q37" s="23">
        <f>SUM(JANUARI!Q37+FEBRUARI!Q37+MARET!Q37+APRIL!Q37+MEI!Q37+JUNI!Q37+JULI!Q37+AGUSTUS!Q37+SEPTEMBER!Q37+OKTOBER!Q37+NOVEMBER!Q37+DESEMBER!Q37)</f>
        <v>0</v>
      </c>
      <c r="R37" s="16">
        <f>SUM(JANUARI!R37+FEBRUARI!R37+MARET!R37+APRIL!R37+MEI!R37+JUNI!R37+JULI!R37+AGUSTUS!R37+SEPTEMBER!R37+OKTOBER!R37+NOVEMBER!R37+DESEMBER!R37)</f>
        <v>0</v>
      </c>
      <c r="S37" s="23">
        <f>SUM(JANUARI!S37+FEBRUARI!S37+MARET!S37+APRIL!S37+MEI!S37+JUNI!S37+JULI!S37+AGUSTUS!S37+SEPTEMBER!S37+OKTOBER!S37+NOVEMBER!S37+DESEMBER!S37)</f>
        <v>0</v>
      </c>
      <c r="T37" s="23">
        <f>SUM(JANUARI!T37+FEBRUARI!T37+MARET!T37+APRIL!T37+MEI!T37+JUNI!T37+JULI!T37+AGUSTUS!T37+SEPTEMBER!T37+OKTOBER!T37+NOVEMBER!T37+DESEMBER!T37)</f>
        <v>0</v>
      </c>
      <c r="U37" s="16">
        <f>SUM(JANUARI!U37+FEBRUARI!U37+MARET!U37+APRIL!U37+MEI!U37+JUNI!U37+JULI!U37+AGUSTUS!U37+SEPTEMBER!U37+OKTOBER!U37+NOVEMBER!U37+DESEMBER!U37)</f>
        <v>0</v>
      </c>
    </row>
    <row r="38">
      <c r="A38" s="19"/>
      <c r="B38" s="20" t="s">
        <v>66</v>
      </c>
      <c r="C38" s="21" t="s">
        <v>67</v>
      </c>
      <c r="D38" s="23">
        <f>SUM(JANUARI!D38+FEBRUARI!D38+MARET!D38+APRIL!D38+MEI!D38+JUNI!D38+JULI!D38+AGUSTUS!D38+SEPTEMBER!D38+OKTOBER!D38+NOVEMBER!D38+DESEMBER!D38)</f>
        <v>0</v>
      </c>
      <c r="E38" s="23">
        <f>SUM(JANUARI!E38+FEBRUARI!E38+MARET!E38+APRIL!E38+MEI!E38+JUNI!E38+JULI!E38+AGUSTUS!E38+SEPTEMBER!E38+OKTOBER!E38+NOVEMBER!E38+DESEMBER!E38)</f>
        <v>104</v>
      </c>
      <c r="F38" s="16">
        <f>SUM(JANUARI!F38+FEBRUARI!F38+MARET!F38+APRIL!F38+MEI!F38+JUNI!F38+JULI!F38+AGUSTUS!F38+SEPTEMBER!F38+OKTOBER!F38+NOVEMBER!F38+DESEMBER!F38)</f>
        <v>104</v>
      </c>
      <c r="G38" s="23">
        <f>SUM(JANUARI!G38+FEBRUARI!G38+MARET!G38+APRIL!G38+MEI!G38+JUNI!G38+JULI!G38+AGUSTUS!G38+SEPTEMBER!G38+OKTOBER!G38+NOVEMBER!G38+DESEMBER!G38)</f>
        <v>0</v>
      </c>
      <c r="H38" s="23">
        <f>SUM(JANUARI!H38+FEBRUARI!H38+MARET!H38+APRIL!H38+MEI!H38+JUNI!H38+JULI!H38+AGUSTUS!H38+SEPTEMBER!H38+OKTOBER!H38+NOVEMBER!H38+DESEMBER!H38)</f>
        <v>73</v>
      </c>
      <c r="I38" s="16">
        <f>SUM(JANUARI!I38+FEBRUARI!I38+MARET!I38+APRIL!I38+MEI!I38+JUNI!I38+JULI!I38+AGUSTUS!I38+SEPTEMBER!I38+OKTOBER!I38+NOVEMBER!I38+DESEMBER!I38)</f>
        <v>73</v>
      </c>
      <c r="J38" s="23">
        <f>SUM(JANUARI!J38+FEBRUARI!J38+MARET!J38+APRIL!J38+MEI!J38+JUNI!J38+JULI!J38+AGUSTUS!J38+SEPTEMBER!J38+OKTOBER!J38+NOVEMBER!J38+DESEMBER!J38)</f>
        <v>0</v>
      </c>
      <c r="K38" s="23">
        <f>SUM(JANUARI!K38+FEBRUARI!K38+MARET!K38+APRIL!K38+MEI!K38+JUNI!K38+JULI!K38+AGUSTUS!K38+SEPTEMBER!K38+OKTOBER!K38+NOVEMBER!K38+DESEMBER!K38)</f>
        <v>109</v>
      </c>
      <c r="L38" s="16">
        <f>SUM(JANUARI!L38+FEBRUARI!L38+MARET!L38+APRIL!L38+MEI!L38+JUNI!L38+JULI!L38+AGUSTUS!L38+SEPTEMBER!L38+OKTOBER!L38+NOVEMBER!L38+DESEMBER!L38)</f>
        <v>109</v>
      </c>
      <c r="M38" s="23">
        <f>SUM(JANUARI!M38+FEBRUARI!M38+MARET!M38+APRIL!M38+MEI!M38+JUNI!M38+JULI!M38+AGUSTUS!M38+SEPTEMBER!M38+OKTOBER!M38+NOVEMBER!M38+DESEMBER!M38)</f>
        <v>0</v>
      </c>
      <c r="N38" s="23">
        <f>SUM(JANUARI!N38+FEBRUARI!N38+MARET!N38+APRIL!N38+MEI!N38+JUNI!N38+JULI!N38+AGUSTUS!N38+SEPTEMBER!N38+OKTOBER!N38+NOVEMBER!N38+DESEMBER!N38)</f>
        <v>68</v>
      </c>
      <c r="O38" s="16">
        <f>SUM(JANUARI!O38+FEBRUARI!O38+MARET!O38+APRIL!O38+MEI!O38+JUNI!O38+JULI!O38+AGUSTUS!O38+SEPTEMBER!O38+OKTOBER!O38+NOVEMBER!O38+DESEMBER!O38)</f>
        <v>68</v>
      </c>
      <c r="P38" s="23">
        <f>SUM(JANUARI!P38+FEBRUARI!P38+MARET!P38+APRIL!P38+MEI!P38+JUNI!P38+JULI!P38+AGUSTUS!P38+SEPTEMBER!P38+OKTOBER!P38+NOVEMBER!P38+DESEMBER!P38)</f>
        <v>0</v>
      </c>
      <c r="Q38" s="23">
        <f>SUM(JANUARI!Q38+FEBRUARI!Q38+MARET!Q38+APRIL!Q38+MEI!Q38+JUNI!Q38+JULI!Q38+AGUSTUS!Q38+SEPTEMBER!Q38+OKTOBER!Q38+NOVEMBER!Q38+DESEMBER!Q38)</f>
        <v>77</v>
      </c>
      <c r="R38" s="16">
        <f>SUM(JANUARI!R38+FEBRUARI!R38+MARET!R38+APRIL!R38+MEI!R38+JUNI!R38+JULI!R38+AGUSTUS!R38+SEPTEMBER!R38+OKTOBER!R38+NOVEMBER!R38+DESEMBER!R38)</f>
        <v>77</v>
      </c>
      <c r="S38" s="23">
        <f>SUM(JANUARI!S38+FEBRUARI!S38+MARET!S38+APRIL!S38+MEI!S38+JUNI!S38+JULI!S38+AGUSTUS!S38+SEPTEMBER!S38+OKTOBER!S38+NOVEMBER!S38+DESEMBER!S38)</f>
        <v>0</v>
      </c>
      <c r="T38" s="23">
        <f>SUM(JANUARI!T38+FEBRUARI!T38+MARET!T38+APRIL!T38+MEI!T38+JUNI!T38+JULI!T38+AGUSTUS!T38+SEPTEMBER!T38+OKTOBER!T38+NOVEMBER!T38+DESEMBER!T38)</f>
        <v>35</v>
      </c>
      <c r="U38" s="16">
        <f>SUM(JANUARI!U38+FEBRUARI!U38+MARET!U38+APRIL!U38+MEI!U38+JUNI!U38+JULI!U38+AGUSTUS!U38+SEPTEMBER!U38+OKTOBER!U38+NOVEMBER!U38+DESEMBER!U38)</f>
        <v>35</v>
      </c>
    </row>
    <row r="39">
      <c r="A39" s="19"/>
      <c r="B39" s="20" t="s">
        <v>68</v>
      </c>
      <c r="C39" s="21" t="s">
        <v>69</v>
      </c>
      <c r="D39" s="23">
        <f>SUM(JANUARI!D39+FEBRUARI!D39+MARET!D39+APRIL!D39+MEI!D39+JUNI!D39+JULI!D39+AGUSTUS!D39+SEPTEMBER!D39+OKTOBER!D39+NOVEMBER!D39+DESEMBER!D39)</f>
        <v>0</v>
      </c>
      <c r="E39" s="23">
        <f>SUM(JANUARI!E39+FEBRUARI!E39+MARET!E39+APRIL!E39+MEI!E39+JUNI!E39+JULI!E39+AGUSTUS!E39+SEPTEMBER!E39+OKTOBER!E39+NOVEMBER!E39+DESEMBER!E39)</f>
        <v>0</v>
      </c>
      <c r="F39" s="16">
        <f>SUM(JANUARI!F39+FEBRUARI!F39+MARET!F39+APRIL!F39+MEI!F39+JUNI!F39+JULI!F39+AGUSTUS!F39+SEPTEMBER!F39+OKTOBER!F39+NOVEMBER!F39+DESEMBER!F39)</f>
        <v>0</v>
      </c>
      <c r="G39" s="23">
        <f>SUM(JANUARI!G39+FEBRUARI!G39+MARET!G39+APRIL!G39+MEI!G39+JUNI!G39+JULI!G39+AGUSTUS!G39+SEPTEMBER!G39+OKTOBER!G39+NOVEMBER!G39+DESEMBER!G39)</f>
        <v>0</v>
      </c>
      <c r="H39" s="23">
        <f>SUM(JANUARI!H39+FEBRUARI!H39+MARET!H39+APRIL!H39+MEI!H39+JUNI!H39+JULI!H39+AGUSTUS!H39+SEPTEMBER!H39+OKTOBER!H39+NOVEMBER!H39+DESEMBER!H39)</f>
        <v>0</v>
      </c>
      <c r="I39" s="16">
        <f>SUM(JANUARI!I39+FEBRUARI!I39+MARET!I39+APRIL!I39+MEI!I39+JUNI!I39+JULI!I39+AGUSTUS!I39+SEPTEMBER!I39+OKTOBER!I39+NOVEMBER!I39+DESEMBER!I39)</f>
        <v>0</v>
      </c>
      <c r="J39" s="23">
        <f>SUM(JANUARI!J39+FEBRUARI!J39+MARET!J39+APRIL!J39+MEI!J39+JUNI!J39+JULI!J39+AGUSTUS!J39+SEPTEMBER!J39+OKTOBER!J39+NOVEMBER!J39+DESEMBER!J39)</f>
        <v>0</v>
      </c>
      <c r="K39" s="23">
        <f>SUM(JANUARI!K39+FEBRUARI!K39+MARET!K39+APRIL!K39+MEI!K39+JUNI!K39+JULI!K39+AGUSTUS!K39+SEPTEMBER!K39+OKTOBER!K39+NOVEMBER!K39+DESEMBER!K39)</f>
        <v>0</v>
      </c>
      <c r="L39" s="16">
        <f>SUM(JANUARI!L39+FEBRUARI!L39+MARET!L39+APRIL!L39+MEI!L39+JUNI!L39+JULI!L39+AGUSTUS!L39+SEPTEMBER!L39+OKTOBER!L39+NOVEMBER!L39+DESEMBER!L39)</f>
        <v>0</v>
      </c>
      <c r="M39" s="23">
        <f>SUM(JANUARI!M39+FEBRUARI!M39+MARET!M39+APRIL!M39+MEI!M39+JUNI!M39+JULI!M39+AGUSTUS!M39+SEPTEMBER!M39+OKTOBER!M39+NOVEMBER!M39+DESEMBER!M39)</f>
        <v>0</v>
      </c>
      <c r="N39" s="23">
        <f>SUM(JANUARI!N39+FEBRUARI!N39+MARET!N39+APRIL!N39+MEI!N39+JUNI!N39+JULI!N39+AGUSTUS!N39+SEPTEMBER!N39+OKTOBER!N39+NOVEMBER!N39+DESEMBER!N39)</f>
        <v>0</v>
      </c>
      <c r="O39" s="16">
        <f>SUM(JANUARI!O39+FEBRUARI!O39+MARET!O39+APRIL!O39+MEI!O39+JUNI!O39+JULI!O39+AGUSTUS!O39+SEPTEMBER!O39+OKTOBER!O39+NOVEMBER!O39+DESEMBER!O39)</f>
        <v>0</v>
      </c>
      <c r="P39" s="23">
        <f>SUM(JANUARI!P39+FEBRUARI!P39+MARET!P39+APRIL!P39+MEI!P39+JUNI!P39+JULI!P39+AGUSTUS!P39+SEPTEMBER!P39+OKTOBER!P39+NOVEMBER!P39+DESEMBER!P39)</f>
        <v>0</v>
      </c>
      <c r="Q39" s="23">
        <f>SUM(JANUARI!Q39+FEBRUARI!Q39+MARET!Q39+APRIL!Q39+MEI!Q39+JUNI!Q39+JULI!Q39+AGUSTUS!Q39+SEPTEMBER!Q39+OKTOBER!Q39+NOVEMBER!Q39+DESEMBER!Q39)</f>
        <v>0</v>
      </c>
      <c r="R39" s="16">
        <f>SUM(JANUARI!R39+FEBRUARI!R39+MARET!R39+APRIL!R39+MEI!R39+JUNI!R39+JULI!R39+AGUSTUS!R39+SEPTEMBER!R39+OKTOBER!R39+NOVEMBER!R39+DESEMBER!R39)</f>
        <v>0</v>
      </c>
      <c r="S39" s="23">
        <f>SUM(JANUARI!S39+FEBRUARI!S39+MARET!S39+APRIL!S39+MEI!S39+JUNI!S39+JULI!S39+AGUSTUS!S39+SEPTEMBER!S39+OKTOBER!S39+NOVEMBER!S39+DESEMBER!S39)</f>
        <v>0</v>
      </c>
      <c r="T39" s="23">
        <f>SUM(JANUARI!T39+FEBRUARI!T39+MARET!T39+APRIL!T39+MEI!T39+JUNI!T39+JULI!T39+AGUSTUS!T39+SEPTEMBER!T39+OKTOBER!T39+NOVEMBER!T39+DESEMBER!T39)</f>
        <v>0</v>
      </c>
      <c r="U39" s="16">
        <f>SUM(JANUARI!U39+FEBRUARI!U39+MARET!U39+APRIL!U39+MEI!U39+JUNI!U39+JULI!U39+AGUSTUS!U39+SEPTEMBER!U39+OKTOBER!U39+NOVEMBER!U39+DESEMBER!U39)</f>
        <v>0</v>
      </c>
    </row>
    <row r="40">
      <c r="A40" s="19"/>
      <c r="B40" s="20" t="s">
        <v>70</v>
      </c>
      <c r="C40" s="21" t="s">
        <v>71</v>
      </c>
      <c r="D40" s="23">
        <f>SUM(JANUARI!D40+FEBRUARI!D40+MARET!D40+APRIL!D40+MEI!D40+JUNI!D40+JULI!D40+AGUSTUS!D40+SEPTEMBER!D40+OKTOBER!D40+NOVEMBER!D40+DESEMBER!D40)</f>
        <v>0</v>
      </c>
      <c r="E40" s="23">
        <f>SUM(JANUARI!E40+FEBRUARI!E40+MARET!E40+APRIL!E40+MEI!E40+JUNI!E40+JULI!E40+AGUSTUS!E40+SEPTEMBER!E40+OKTOBER!E40+NOVEMBER!E40+DESEMBER!E40)</f>
        <v>0</v>
      </c>
      <c r="F40" s="16">
        <f>SUM(JANUARI!F40+FEBRUARI!F40+MARET!F40+APRIL!F40+MEI!F40+JUNI!F40+JULI!F40+AGUSTUS!F40+SEPTEMBER!F40+OKTOBER!F40+NOVEMBER!F40+DESEMBER!F40)</f>
        <v>0</v>
      </c>
      <c r="G40" s="23">
        <f>SUM(JANUARI!G40+FEBRUARI!G40+MARET!G40+APRIL!G40+MEI!G40+JUNI!G40+JULI!G40+AGUSTUS!G40+SEPTEMBER!G40+OKTOBER!G40+NOVEMBER!G40+DESEMBER!G40)</f>
        <v>7</v>
      </c>
      <c r="H40" s="23">
        <f>SUM(JANUARI!H40+FEBRUARI!H40+MARET!H40+APRIL!H40+MEI!H40+JUNI!H40+JULI!H40+AGUSTUS!H40+SEPTEMBER!H40+OKTOBER!H40+NOVEMBER!H40+DESEMBER!H40)</f>
        <v>15</v>
      </c>
      <c r="I40" s="16">
        <f>SUM(JANUARI!I40+FEBRUARI!I40+MARET!I40+APRIL!I40+MEI!I40+JUNI!I40+JULI!I40+AGUSTUS!I40+SEPTEMBER!I40+OKTOBER!I40+NOVEMBER!I40+DESEMBER!I40)</f>
        <v>22</v>
      </c>
      <c r="J40" s="23">
        <f>SUM(JANUARI!J40+FEBRUARI!J40+MARET!J40+APRIL!J40+MEI!J40+JUNI!J40+JULI!J40+AGUSTUS!J40+SEPTEMBER!J40+OKTOBER!J40+NOVEMBER!J40+DESEMBER!J40)</f>
        <v>0</v>
      </c>
      <c r="K40" s="23">
        <f>SUM(JANUARI!K40+FEBRUARI!K40+MARET!K40+APRIL!K40+MEI!K40+JUNI!K40+JULI!K40+AGUSTUS!K40+SEPTEMBER!K40+OKTOBER!K40+NOVEMBER!K40+DESEMBER!K40)</f>
        <v>6</v>
      </c>
      <c r="L40" s="16">
        <f>SUM(JANUARI!L40+FEBRUARI!L40+MARET!L40+APRIL!L40+MEI!L40+JUNI!L40+JULI!L40+AGUSTUS!L40+SEPTEMBER!L40+OKTOBER!L40+NOVEMBER!L40+DESEMBER!L40)</f>
        <v>6</v>
      </c>
      <c r="M40" s="23">
        <f>SUM(JANUARI!M40+FEBRUARI!M40+MARET!M40+APRIL!M40+MEI!M40+JUNI!M40+JULI!M40+AGUSTUS!M40+SEPTEMBER!M40+OKTOBER!M40+NOVEMBER!M40+DESEMBER!M40)</f>
        <v>14</v>
      </c>
      <c r="N40" s="23">
        <f>SUM(JANUARI!N40+FEBRUARI!N40+MARET!N40+APRIL!N40+MEI!N40+JUNI!N40+JULI!N40+AGUSTUS!N40+SEPTEMBER!N40+OKTOBER!N40+NOVEMBER!N40+DESEMBER!N40)</f>
        <v>99</v>
      </c>
      <c r="O40" s="16">
        <f>SUM(JANUARI!O40+FEBRUARI!O40+MARET!O40+APRIL!O40+MEI!O40+JUNI!O40+JULI!O40+AGUSTUS!O40+SEPTEMBER!O40+OKTOBER!O40+NOVEMBER!O40+DESEMBER!O40)</f>
        <v>113</v>
      </c>
      <c r="P40" s="23">
        <f>SUM(JANUARI!P40+FEBRUARI!P40+MARET!P40+APRIL!P40+MEI!P40+JUNI!P40+JULI!P40+AGUSTUS!P40+SEPTEMBER!P40+OKTOBER!P40+NOVEMBER!P40+DESEMBER!P40)</f>
        <v>4</v>
      </c>
      <c r="Q40" s="23">
        <f>SUM(JANUARI!Q40+FEBRUARI!Q40+MARET!Q40+APRIL!Q40+MEI!Q40+JUNI!Q40+JULI!Q40+AGUSTUS!Q40+SEPTEMBER!Q40+OKTOBER!Q40+NOVEMBER!Q40+DESEMBER!Q40)</f>
        <v>4</v>
      </c>
      <c r="R40" s="16">
        <f>SUM(JANUARI!R40+FEBRUARI!R40+MARET!R40+APRIL!R40+MEI!R40+JUNI!R40+JULI!R40+AGUSTUS!R40+SEPTEMBER!R40+OKTOBER!R40+NOVEMBER!R40+DESEMBER!R40)</f>
        <v>8</v>
      </c>
      <c r="S40" s="23">
        <f>SUM(JANUARI!S40+FEBRUARI!S40+MARET!S40+APRIL!S40+MEI!S40+JUNI!S40+JULI!S40+AGUSTUS!S40+SEPTEMBER!S40+OKTOBER!S40+NOVEMBER!S40+DESEMBER!S40)</f>
        <v>0</v>
      </c>
      <c r="T40" s="23">
        <f>SUM(JANUARI!T40+FEBRUARI!T40+MARET!T40+APRIL!T40+MEI!T40+JUNI!T40+JULI!T40+AGUSTUS!T40+SEPTEMBER!T40+OKTOBER!T40+NOVEMBER!T40+DESEMBER!T40)</f>
        <v>0</v>
      </c>
      <c r="U40" s="16">
        <f>SUM(JANUARI!U40+FEBRUARI!U40+MARET!U40+APRIL!U40+MEI!U40+JUNI!U40+JULI!U40+AGUSTUS!U40+SEPTEMBER!U40+OKTOBER!U40+NOVEMBER!U40+DESEMBER!U40)</f>
        <v>0</v>
      </c>
    </row>
    <row r="41">
      <c r="A41" s="10"/>
      <c r="B41" s="20" t="s">
        <v>72</v>
      </c>
      <c r="C41" s="21" t="s">
        <v>73</v>
      </c>
      <c r="D41" s="23">
        <f>SUM(JANUARI!D41+FEBRUARI!D41+MARET!D41+APRIL!D41+MEI!D41+JUNI!D41+JULI!D41+AGUSTUS!D41+SEPTEMBER!D41+OKTOBER!D41+NOVEMBER!D41+DESEMBER!D41)</f>
        <v>0</v>
      </c>
      <c r="E41" s="23">
        <f>SUM(JANUARI!E41+FEBRUARI!E41+MARET!E41+APRIL!E41+MEI!E41+JUNI!E41+JULI!E41+AGUSTUS!E41+SEPTEMBER!E41+OKTOBER!E41+NOVEMBER!E41+DESEMBER!E41)</f>
        <v>0</v>
      </c>
      <c r="F41" s="16">
        <f>SUM(JANUARI!F41+FEBRUARI!F41+MARET!F41+APRIL!F41+MEI!F41+JUNI!F41+JULI!F41+AGUSTUS!F41+SEPTEMBER!F41+OKTOBER!F41+NOVEMBER!F41+DESEMBER!F41)</f>
        <v>0</v>
      </c>
      <c r="G41" s="23">
        <f>SUM(JANUARI!G41+FEBRUARI!G41+MARET!G41+APRIL!G41+MEI!G41+JUNI!G41+JULI!G41+AGUSTUS!G41+SEPTEMBER!G41+OKTOBER!G41+NOVEMBER!G41+DESEMBER!G41)</f>
        <v>0</v>
      </c>
      <c r="H41" s="23">
        <f>SUM(JANUARI!H41+FEBRUARI!H41+MARET!H41+APRIL!H41+MEI!H41+JUNI!H41+JULI!H41+AGUSTUS!H41+SEPTEMBER!H41+OKTOBER!H41+NOVEMBER!H41+DESEMBER!H41)</f>
        <v>0</v>
      </c>
      <c r="I41" s="16">
        <f>SUM(JANUARI!I41+FEBRUARI!I41+MARET!I41+APRIL!I41+MEI!I41+JUNI!I41+JULI!I41+AGUSTUS!I41+SEPTEMBER!I41+OKTOBER!I41+NOVEMBER!I41+DESEMBER!I41)</f>
        <v>0</v>
      </c>
      <c r="J41" s="23">
        <f>SUM(JANUARI!J41+FEBRUARI!J41+MARET!J41+APRIL!J41+MEI!J41+JUNI!J41+JULI!J41+AGUSTUS!J41+SEPTEMBER!J41+OKTOBER!J41+NOVEMBER!J41+DESEMBER!J41)</f>
        <v>0</v>
      </c>
      <c r="K41" s="23">
        <f>SUM(JANUARI!K41+FEBRUARI!K41+MARET!K41+APRIL!K41+MEI!K41+JUNI!K41+JULI!K41+AGUSTUS!K41+SEPTEMBER!K41+OKTOBER!K41+NOVEMBER!K41+DESEMBER!K41)</f>
        <v>0</v>
      </c>
      <c r="L41" s="16">
        <f>SUM(JANUARI!L41+FEBRUARI!L41+MARET!L41+APRIL!L41+MEI!L41+JUNI!L41+JULI!L41+AGUSTUS!L41+SEPTEMBER!L41+OKTOBER!L41+NOVEMBER!L41+DESEMBER!L41)</f>
        <v>0</v>
      </c>
      <c r="M41" s="23">
        <f>SUM(JANUARI!M41+FEBRUARI!M41+MARET!M41+APRIL!M41+MEI!M41+JUNI!M41+JULI!M41+AGUSTUS!M41+SEPTEMBER!M41+OKTOBER!M41+NOVEMBER!M41+DESEMBER!M41)</f>
        <v>0</v>
      </c>
      <c r="N41" s="23">
        <f>SUM(JANUARI!N41+FEBRUARI!N41+MARET!N41+APRIL!N41+MEI!N41+JUNI!N41+JULI!N41+AGUSTUS!N41+SEPTEMBER!N41+OKTOBER!N41+NOVEMBER!N41+DESEMBER!N41)</f>
        <v>0</v>
      </c>
      <c r="O41" s="16">
        <f>SUM(JANUARI!O41+FEBRUARI!O41+MARET!O41+APRIL!O41+MEI!O41+JUNI!O41+JULI!O41+AGUSTUS!O41+SEPTEMBER!O41+OKTOBER!O41+NOVEMBER!O41+DESEMBER!O41)</f>
        <v>0</v>
      </c>
      <c r="P41" s="23">
        <f>SUM(JANUARI!P41+FEBRUARI!P41+MARET!P41+APRIL!P41+MEI!P41+JUNI!P41+JULI!P41+AGUSTUS!P41+SEPTEMBER!P41+OKTOBER!P41+NOVEMBER!P41+DESEMBER!P41)</f>
        <v>0</v>
      </c>
      <c r="Q41" s="23">
        <f>SUM(JANUARI!Q41+FEBRUARI!Q41+MARET!Q41+APRIL!Q41+MEI!Q41+JUNI!Q41+JULI!Q41+AGUSTUS!Q41+SEPTEMBER!Q41+OKTOBER!Q41+NOVEMBER!Q41+DESEMBER!Q41)</f>
        <v>0</v>
      </c>
      <c r="R41" s="16">
        <f>SUM(JANUARI!R41+FEBRUARI!R41+MARET!R41+APRIL!R41+MEI!R41+JUNI!R41+JULI!R41+AGUSTUS!R41+SEPTEMBER!R41+OKTOBER!R41+NOVEMBER!R41+DESEMBER!R41)</f>
        <v>0</v>
      </c>
      <c r="S41" s="23">
        <f>SUM(JANUARI!S41+FEBRUARI!S41+MARET!S41+APRIL!S41+MEI!S41+JUNI!S41+JULI!S41+AGUSTUS!S41+SEPTEMBER!S41+OKTOBER!S41+NOVEMBER!S41+DESEMBER!S41)</f>
        <v>0</v>
      </c>
      <c r="T41" s="23">
        <f>SUM(JANUARI!T41+FEBRUARI!T41+MARET!T41+APRIL!T41+MEI!T41+JUNI!T41+JULI!T41+AGUSTUS!T41+SEPTEMBER!T41+OKTOBER!T41+NOVEMBER!T41+DESEMBER!T41)</f>
        <v>0</v>
      </c>
      <c r="U41" s="16">
        <f>SUM(JANUARI!U41+FEBRUARI!U41+MARET!U41+APRIL!U41+MEI!U41+JUNI!U41+JULI!U41+AGUSTUS!U41+SEPTEMBER!U41+OKTOBER!U41+NOVEMBER!U41+DESEMBER!U41)</f>
        <v>0</v>
      </c>
    </row>
    <row r="42">
      <c r="A42" s="1"/>
      <c r="B42" s="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 t="s">
        <v>3</v>
      </c>
      <c r="B44" s="5" t="s">
        <v>4</v>
      </c>
      <c r="C44" s="6"/>
      <c r="D44" s="7" t="s">
        <v>74</v>
      </c>
      <c r="E44" s="8"/>
      <c r="F44" s="9"/>
      <c r="G44" s="7" t="s">
        <v>75</v>
      </c>
      <c r="H44" s="8"/>
      <c r="I44" s="9"/>
      <c r="J44" s="7" t="s">
        <v>76</v>
      </c>
      <c r="K44" s="8"/>
      <c r="L44" s="9"/>
      <c r="M44" s="7" t="s">
        <v>77</v>
      </c>
      <c r="N44" s="8"/>
      <c r="O44" s="9"/>
      <c r="P44" s="7" t="s">
        <v>78</v>
      </c>
      <c r="Q44" s="8"/>
      <c r="R44" s="9"/>
      <c r="S44" s="7" t="s">
        <v>79</v>
      </c>
      <c r="T44" s="8"/>
      <c r="U44" s="9"/>
    </row>
    <row r="45">
      <c r="A45" s="10"/>
      <c r="B45" s="11"/>
      <c r="C45" s="12"/>
      <c r="D45" s="13" t="s">
        <v>11</v>
      </c>
      <c r="E45" s="13" t="s">
        <v>12</v>
      </c>
      <c r="F45" s="13" t="s">
        <v>13</v>
      </c>
      <c r="G45" s="13" t="s">
        <v>11</v>
      </c>
      <c r="H45" s="13" t="s">
        <v>12</v>
      </c>
      <c r="I45" s="13" t="s">
        <v>13</v>
      </c>
      <c r="J45" s="13" t="s">
        <v>11</v>
      </c>
      <c r="K45" s="13" t="s">
        <v>12</v>
      </c>
      <c r="L45" s="13" t="s">
        <v>13</v>
      </c>
      <c r="M45" s="13" t="s">
        <v>11</v>
      </c>
      <c r="N45" s="13" t="s">
        <v>12</v>
      </c>
      <c r="O45" s="13" t="s">
        <v>13</v>
      </c>
      <c r="P45" s="13" t="s">
        <v>11</v>
      </c>
      <c r="Q45" s="13" t="s">
        <v>12</v>
      </c>
      <c r="R45" s="13" t="s">
        <v>13</v>
      </c>
      <c r="S45" s="13" t="s">
        <v>11</v>
      </c>
      <c r="T45" s="13" t="s">
        <v>12</v>
      </c>
      <c r="U45" s="13" t="s">
        <v>13</v>
      </c>
    </row>
    <row r="46">
      <c r="A46" s="14">
        <v>1.0</v>
      </c>
      <c r="B46" s="15" t="s">
        <v>14</v>
      </c>
      <c r="C46" s="9"/>
      <c r="D46" s="16">
        <f>SUM(JANUARI!D46+FEBRUARI!D46+MARET!D46+APRIL!D46+MEI!D46+JUNI!D46+JULI!D46+AGUSTUS!D46+SEPTEMBER!D46+OKTOBER!D46+NOVEMBER!D46+DESEMBER!D46)</f>
        <v>0</v>
      </c>
      <c r="E46" s="16">
        <f>SUM(JANUARI!E46+FEBRUARI!E46+MARET!E46+APRIL!E46+MEI!E46+JUNI!E46+JULI!E46+AGUSTUS!E46+SEPTEMBER!E46+OKTOBER!E46+NOVEMBER!E46+DESEMBER!E46)</f>
        <v>0</v>
      </c>
      <c r="F46" s="16">
        <f>SUM(JANUARI!F46+FEBRUARI!F46+MARET!F46+APRIL!F46+MEI!F46+JUNI!F46+JULI!F46+AGUSTUS!F46+SEPTEMBER!F46+OKTOBER!F46+NOVEMBER!F46+DESEMBER!F46)</f>
        <v>0</v>
      </c>
      <c r="G46" s="16">
        <f>SUM(JANUARI!G46+FEBRUARI!G46+MARET!G46+APRIL!G46+MEI!G46+JUNI!G46+JULI!G46+AGUSTUS!G46+SEPTEMBER!G46+OKTOBER!G46+NOVEMBER!G46+DESEMBER!G46)</f>
        <v>0</v>
      </c>
      <c r="H46" s="16">
        <f>SUM(JANUARI!H46+FEBRUARI!H46+MARET!H46+APRIL!H46+MEI!H46+JUNI!H46+JULI!H46+AGUSTUS!H46+SEPTEMBER!H46+OKTOBER!H46+NOVEMBER!H46+DESEMBER!H46)</f>
        <v>0</v>
      </c>
      <c r="I46" s="16">
        <f>SUM(JANUARI!I46+FEBRUARI!I46+MARET!I46+APRIL!I46+MEI!I46+JUNI!I46+JULI!I46+AGUSTUS!I46+SEPTEMBER!I46+OKTOBER!I46+NOVEMBER!I46+DESEMBER!I46)</f>
        <v>0</v>
      </c>
      <c r="J46" s="16">
        <f>SUM(JANUARI!J46+FEBRUARI!J46+MARET!J46+APRIL!J46+MEI!J46+JUNI!J46+JULI!J46+AGUSTUS!J46+SEPTEMBER!J46+OKTOBER!J46+NOVEMBER!J46+DESEMBER!J46)</f>
        <v>0</v>
      </c>
      <c r="K46" s="16">
        <f>SUM(JANUARI!K46+FEBRUARI!K46+MARET!K46+APRIL!K46+MEI!K46+JUNI!K46+JULI!K46+AGUSTUS!K46+SEPTEMBER!K46+OKTOBER!K46+NOVEMBER!K46+DESEMBER!K46)</f>
        <v>0</v>
      </c>
      <c r="L46" s="16">
        <f>SUM(JANUARI!L46+FEBRUARI!L46+MARET!L46+APRIL!L46+MEI!L46+JUNI!L46+JULI!L46+AGUSTUS!L46+SEPTEMBER!L46+OKTOBER!L46+NOVEMBER!L46+DESEMBER!L46)</f>
        <v>0</v>
      </c>
      <c r="M46" s="16">
        <f>SUM(JANUARI!M46+FEBRUARI!M46+MARET!M46+APRIL!M46+MEI!M46+JUNI!M46+JULI!M46+AGUSTUS!M46+SEPTEMBER!M46+OKTOBER!M46+NOVEMBER!M46+DESEMBER!M46)</f>
        <v>601</v>
      </c>
      <c r="N46" s="16">
        <f>SUM(JANUARI!N46+FEBRUARI!N46+MARET!N46+APRIL!N46+MEI!N46+JUNI!N46+JULI!N46+AGUSTUS!N46+SEPTEMBER!N46+OKTOBER!N46+NOVEMBER!N46+DESEMBER!N46)</f>
        <v>1345</v>
      </c>
      <c r="O46" s="16">
        <f>SUM(JANUARI!O46+FEBRUARI!O46+MARET!O46+APRIL!O46+MEI!O46+JUNI!O46+JULI!O46+AGUSTUS!O46+SEPTEMBER!O46+OKTOBER!O46+NOVEMBER!O46+DESEMBER!O46)</f>
        <v>1946</v>
      </c>
      <c r="P46" s="16">
        <f>SUM(JANUARI!P46+FEBRUARI!P46+MARET!P46+APRIL!P46+MEI!P46+JUNI!P46+JULI!P46+AGUSTUS!P46+SEPTEMBER!P46+OKTOBER!P46+NOVEMBER!P46+DESEMBER!P46)</f>
        <v>109</v>
      </c>
      <c r="Q46" s="16">
        <f>SUM(JANUARI!Q46+FEBRUARI!Q46+MARET!Q46+APRIL!Q46+MEI!Q46+JUNI!Q46+JULI!Q46+AGUSTUS!Q46+SEPTEMBER!Q46+OKTOBER!Q46+NOVEMBER!Q46+DESEMBER!Q46)</f>
        <v>528</v>
      </c>
      <c r="R46" s="16">
        <f>SUM(JANUARI!R46+FEBRUARI!R46+MARET!R46+APRIL!R46+MEI!R46+JUNI!R46+JULI!R46+AGUSTUS!R46+SEPTEMBER!R46+OKTOBER!R46+NOVEMBER!R46+DESEMBER!R46)</f>
        <v>637</v>
      </c>
      <c r="S46" s="16">
        <f>SUM(JANUARI!S46+FEBRUARI!S46+MARET!S46+APRIL!S46+MEI!S46+JUNI!S46+JULI!S46+AGUSTUS!S46+SEPTEMBER!S46+OKTOBER!S46+NOVEMBER!S46+DESEMBER!S46)</f>
        <v>470</v>
      </c>
      <c r="T46" s="16">
        <f>SUM(JANUARI!T46+FEBRUARI!T46+MARET!T46+APRIL!T46+MEI!T46+JUNI!T46+JULI!T46+AGUSTUS!T46+SEPTEMBER!T46+OKTOBER!T46+NOVEMBER!T46+DESEMBER!T46)</f>
        <v>1439</v>
      </c>
      <c r="U46" s="16">
        <f>SUM(JANUARI!U46+FEBRUARI!U46+MARET!U46+APRIL!U46+MEI!U46+JUNI!U46+JULI!U46+AGUSTUS!U46+SEPTEMBER!U46+OKTOBER!U46+NOVEMBER!U46+DESEMBER!U46)</f>
        <v>1909</v>
      </c>
    </row>
    <row r="47">
      <c r="A47" s="17">
        <v>2.0</v>
      </c>
      <c r="B47" s="18" t="s">
        <v>15</v>
      </c>
      <c r="C47" s="9"/>
      <c r="D47" s="16">
        <f>SUM(JANUARI!D47+FEBRUARI!D47+MARET!D47+APRIL!D47+MEI!D47+JUNI!D47+JULI!D47+AGUSTUS!D47+SEPTEMBER!D47+OKTOBER!D47+NOVEMBER!D47+DESEMBER!D47)</f>
        <v>0</v>
      </c>
      <c r="E47" s="16">
        <f>SUM(JANUARI!E47+FEBRUARI!E47+MARET!E47+APRIL!E47+MEI!E47+JUNI!E47+JULI!E47+AGUSTUS!E47+SEPTEMBER!E47+OKTOBER!E47+NOVEMBER!E47+DESEMBER!E47)</f>
        <v>0</v>
      </c>
      <c r="F47" s="16">
        <f>SUM(JANUARI!F47+FEBRUARI!F47+MARET!F47+APRIL!F47+MEI!F47+JUNI!F47+JULI!F47+AGUSTUS!F47+SEPTEMBER!F47+OKTOBER!F47+NOVEMBER!F47+DESEMBER!F47)</f>
        <v>0</v>
      </c>
      <c r="G47" s="16">
        <f>SUM(JANUARI!G47+FEBRUARI!G47+MARET!G47+APRIL!G47+MEI!G47+JUNI!G47+JULI!G47+AGUSTUS!G47+SEPTEMBER!G47+OKTOBER!G47+NOVEMBER!G47+DESEMBER!G47)</f>
        <v>0</v>
      </c>
      <c r="H47" s="16">
        <f>SUM(JANUARI!H47+FEBRUARI!H47+MARET!H47+APRIL!H47+MEI!H47+JUNI!H47+JULI!H47+AGUSTUS!H47+SEPTEMBER!H47+OKTOBER!H47+NOVEMBER!H47+DESEMBER!H47)</f>
        <v>0</v>
      </c>
      <c r="I47" s="16">
        <f>SUM(JANUARI!I47+FEBRUARI!I47+MARET!I47+APRIL!I47+MEI!I47+JUNI!I47+JULI!I47+AGUSTUS!I47+SEPTEMBER!I47+OKTOBER!I47+NOVEMBER!I47+DESEMBER!I47)</f>
        <v>0</v>
      </c>
      <c r="J47" s="16">
        <f>SUM(JANUARI!J47+FEBRUARI!J47+MARET!J47+APRIL!J47+MEI!J47+JUNI!J47+JULI!J47+AGUSTUS!J47+SEPTEMBER!J47+OKTOBER!J47+NOVEMBER!J47+DESEMBER!J47)</f>
        <v>0</v>
      </c>
      <c r="K47" s="16">
        <f>SUM(JANUARI!K47+FEBRUARI!K47+MARET!K47+APRIL!K47+MEI!K47+JUNI!K47+JULI!K47+AGUSTUS!K47+SEPTEMBER!K47+OKTOBER!K47+NOVEMBER!K47+DESEMBER!K47)</f>
        <v>0</v>
      </c>
      <c r="L47" s="16">
        <f>SUM(JANUARI!L47+FEBRUARI!L47+MARET!L47+APRIL!L47+MEI!L47+JUNI!L47+JULI!L47+AGUSTUS!L47+SEPTEMBER!L47+OKTOBER!L47+NOVEMBER!L47+DESEMBER!L47)</f>
        <v>0</v>
      </c>
      <c r="M47" s="16">
        <f>SUM(JANUARI!M47+FEBRUARI!M47+MARET!M47+APRIL!M47+MEI!M47+JUNI!M47+JULI!M47+AGUSTUS!M47+SEPTEMBER!M47+OKTOBER!M47+NOVEMBER!M47+DESEMBER!M47)</f>
        <v>162</v>
      </c>
      <c r="N47" s="16">
        <f>SUM(JANUARI!N47+FEBRUARI!N47+MARET!N47+APRIL!N47+MEI!N47+JUNI!N47+JULI!N47+AGUSTUS!N47+SEPTEMBER!N47+OKTOBER!N47+NOVEMBER!N47+DESEMBER!N47)</f>
        <v>334</v>
      </c>
      <c r="O47" s="16">
        <f>SUM(JANUARI!O47+FEBRUARI!O47+MARET!O47+APRIL!O47+MEI!O47+JUNI!O47+JULI!O47+AGUSTUS!O47+SEPTEMBER!O47+OKTOBER!O47+NOVEMBER!O47+DESEMBER!O47)</f>
        <v>496</v>
      </c>
      <c r="P47" s="16">
        <f>SUM(JANUARI!P47+FEBRUARI!P47+MARET!P47+APRIL!P47+MEI!P47+JUNI!P47+JULI!P47+AGUSTUS!P47+SEPTEMBER!P47+OKTOBER!P47+NOVEMBER!P47+DESEMBER!P47)</f>
        <v>27</v>
      </c>
      <c r="Q47" s="16">
        <f>SUM(JANUARI!Q47+FEBRUARI!Q47+MARET!Q47+APRIL!Q47+MEI!Q47+JUNI!Q47+JULI!Q47+AGUSTUS!Q47+SEPTEMBER!Q47+OKTOBER!Q47+NOVEMBER!Q47+DESEMBER!Q47)</f>
        <v>107</v>
      </c>
      <c r="R47" s="16">
        <f>SUM(JANUARI!R47+FEBRUARI!R47+MARET!R47+APRIL!R47+MEI!R47+JUNI!R47+JULI!R47+AGUSTUS!R47+SEPTEMBER!R47+OKTOBER!R47+NOVEMBER!R47+DESEMBER!R47)</f>
        <v>134</v>
      </c>
      <c r="S47" s="16">
        <f>SUM(JANUARI!S47+FEBRUARI!S47+MARET!S47+APRIL!S47+MEI!S47+JUNI!S47+JULI!S47+AGUSTUS!S47+SEPTEMBER!S47+OKTOBER!S47+NOVEMBER!S47+DESEMBER!S47)</f>
        <v>145</v>
      </c>
      <c r="T47" s="16">
        <f>SUM(JANUARI!T47+FEBRUARI!T47+MARET!T47+APRIL!T47+MEI!T47+JUNI!T47+JULI!T47+AGUSTUS!T47+SEPTEMBER!T47+OKTOBER!T47+NOVEMBER!T47+DESEMBER!T47)</f>
        <v>336</v>
      </c>
      <c r="U47" s="16">
        <f>SUM(JANUARI!U47+FEBRUARI!U47+MARET!U47+APRIL!U47+MEI!U47+JUNI!U47+JULI!U47+AGUSTUS!U47+SEPTEMBER!U47+OKTOBER!U47+NOVEMBER!U47+DESEMBER!U47)</f>
        <v>481</v>
      </c>
    </row>
    <row r="48">
      <c r="A48" s="19"/>
      <c r="B48" s="20" t="s">
        <v>16</v>
      </c>
      <c r="C48" s="21" t="s">
        <v>17</v>
      </c>
      <c r="D48" s="23">
        <f>SUM(JANUARI!D48+FEBRUARI!D48+MARET!D48+APRIL!D48+MEI!D48+JUNI!D48+JULI!D48+AGUSTUS!D48+SEPTEMBER!D48+OKTOBER!D48+NOVEMBER!D48+DESEMBER!D48)</f>
        <v>0</v>
      </c>
      <c r="E48" s="23">
        <f>SUM(JANUARI!E48+FEBRUARI!E48+MARET!E48+APRIL!E48+MEI!E48+JUNI!E48+JULI!E48+AGUSTUS!E48+SEPTEMBER!E48+OKTOBER!E48+NOVEMBER!E48+DESEMBER!E48)</f>
        <v>0</v>
      </c>
      <c r="F48" s="16">
        <f>SUM(JANUARI!F48+FEBRUARI!F48+MARET!F48+APRIL!F48+MEI!F48+JUNI!F48+JULI!F48+AGUSTUS!F48+SEPTEMBER!F48+OKTOBER!F48+NOVEMBER!F48+DESEMBER!F48)</f>
        <v>0</v>
      </c>
      <c r="G48" s="23">
        <f>SUM(JANUARI!G48+FEBRUARI!G48+MARET!G48+APRIL!G48+MEI!G48+JUNI!G48+JULI!G48+AGUSTUS!G48+SEPTEMBER!G48+OKTOBER!G48+NOVEMBER!G48+DESEMBER!G48)</f>
        <v>0</v>
      </c>
      <c r="H48" s="23">
        <f>SUM(JANUARI!H48+FEBRUARI!H48+MARET!H48+APRIL!H48+MEI!H48+JUNI!H48+JULI!H48+AGUSTUS!H48+SEPTEMBER!H48+OKTOBER!H48+NOVEMBER!H48+DESEMBER!H48)</f>
        <v>0</v>
      </c>
      <c r="I48" s="16">
        <f>SUM(JANUARI!I48+FEBRUARI!I48+MARET!I48+APRIL!I48+MEI!I48+JUNI!I48+JULI!I48+AGUSTUS!I48+SEPTEMBER!I48+OKTOBER!I48+NOVEMBER!I48+DESEMBER!I48)</f>
        <v>0</v>
      </c>
      <c r="J48" s="23">
        <f>SUM(JANUARI!J48+FEBRUARI!J48+MARET!J48+APRIL!J48+MEI!J48+JUNI!J48+JULI!J48+AGUSTUS!J48+SEPTEMBER!J48+OKTOBER!J48+NOVEMBER!J48+DESEMBER!J48)</f>
        <v>0</v>
      </c>
      <c r="K48" s="23">
        <f>SUM(JANUARI!K48+FEBRUARI!K48+MARET!K48+APRIL!K48+MEI!K48+JUNI!K48+JULI!K48+AGUSTUS!K48+SEPTEMBER!K48+OKTOBER!K48+NOVEMBER!K48+DESEMBER!K48)</f>
        <v>0</v>
      </c>
      <c r="L48" s="16">
        <f>SUM(JANUARI!L48+FEBRUARI!L48+MARET!L48+APRIL!L48+MEI!L48+JUNI!L48+JULI!L48+AGUSTUS!L48+SEPTEMBER!L48+OKTOBER!L48+NOVEMBER!L48+DESEMBER!L48)</f>
        <v>0</v>
      </c>
      <c r="M48" s="23">
        <f>SUM(JANUARI!M48+FEBRUARI!M48+MARET!M48+APRIL!M48+MEI!M48+JUNI!M48+JULI!M48+AGUSTUS!M48+SEPTEMBER!M48+OKTOBER!M48+NOVEMBER!M48+DESEMBER!M48)</f>
        <v>101</v>
      </c>
      <c r="N48" s="23">
        <f>SUM(JANUARI!N48+FEBRUARI!N48+MARET!N48+APRIL!N48+MEI!N48+JUNI!N48+JULI!N48+AGUSTUS!N48+SEPTEMBER!N48+OKTOBER!N48+NOVEMBER!N48+DESEMBER!N48)</f>
        <v>189</v>
      </c>
      <c r="O48" s="23">
        <f>SUM(JANUARI!O48+FEBRUARI!O48+MARET!O48+APRIL!O48+MEI!O48+JUNI!O48+JULI!O48+AGUSTUS!O48+SEPTEMBER!O48+OKTOBER!O48+NOVEMBER!O48+DESEMBER!O48)</f>
        <v>290</v>
      </c>
      <c r="P48" s="23">
        <f>SUM(JANUARI!P48+FEBRUARI!P48+MARET!P48+APRIL!P48+MEI!P48+JUNI!P48+JULI!P48+AGUSTUS!P48+SEPTEMBER!P48+OKTOBER!P48+NOVEMBER!P48+DESEMBER!P48)</f>
        <v>23</v>
      </c>
      <c r="Q48" s="23">
        <f>SUM(JANUARI!Q48+FEBRUARI!Q48+MARET!Q48+APRIL!Q48+MEI!Q48+JUNI!Q48+JULI!Q48+AGUSTUS!Q48+SEPTEMBER!Q48+OKTOBER!Q48+NOVEMBER!Q48+DESEMBER!Q48)</f>
        <v>49</v>
      </c>
      <c r="R48" s="16">
        <f>SUM(JANUARI!R48+FEBRUARI!R48+MARET!R48+APRIL!R48+MEI!R48+JUNI!R48+JULI!R48+AGUSTUS!R48+SEPTEMBER!R48+OKTOBER!R48+NOVEMBER!R48+DESEMBER!R48)</f>
        <v>72</v>
      </c>
      <c r="S48" s="23">
        <f>SUM(JANUARI!S48+FEBRUARI!S48+MARET!S48+APRIL!S48+MEI!S48+JUNI!S48+JULI!S48+AGUSTUS!S48+SEPTEMBER!S48+OKTOBER!S48+NOVEMBER!S48+DESEMBER!S48)</f>
        <v>133</v>
      </c>
      <c r="T48" s="23">
        <f>SUM(JANUARI!T48+FEBRUARI!T48+MARET!T48+APRIL!T48+MEI!T48+JUNI!T48+JULI!T48+AGUSTUS!T48+SEPTEMBER!T48+OKTOBER!T48+NOVEMBER!T48+DESEMBER!T48)</f>
        <v>233</v>
      </c>
      <c r="U48" s="16">
        <f>SUM(JANUARI!U48+FEBRUARI!U48+MARET!U48+APRIL!U48+MEI!U48+JUNI!U48+JULI!U48+AGUSTUS!U48+SEPTEMBER!U48+OKTOBER!U48+NOVEMBER!U48+DESEMBER!U48)</f>
        <v>366</v>
      </c>
    </row>
    <row r="49">
      <c r="A49" s="19"/>
      <c r="B49" s="20" t="s">
        <v>19</v>
      </c>
      <c r="C49" s="21" t="s">
        <v>20</v>
      </c>
      <c r="D49" s="23">
        <f>SUM(JANUARI!D49+FEBRUARI!D49+MARET!D49+APRIL!D49+MEI!D49+JUNI!D49+JULI!D49+AGUSTUS!D49+SEPTEMBER!D49+OKTOBER!D49+NOVEMBER!D49+DESEMBER!D49)</f>
        <v>0</v>
      </c>
      <c r="E49" s="23">
        <f>SUM(JANUARI!E49+FEBRUARI!E49+MARET!E49+APRIL!E49+MEI!E49+JUNI!E49+JULI!E49+AGUSTUS!E49+SEPTEMBER!E49+OKTOBER!E49+NOVEMBER!E49+DESEMBER!E49)</f>
        <v>0</v>
      </c>
      <c r="F49" s="16">
        <f>SUM(JANUARI!F49+FEBRUARI!F49+MARET!F49+APRIL!F49+MEI!F49+JUNI!F49+JULI!F49+AGUSTUS!F49+SEPTEMBER!F49+OKTOBER!F49+NOVEMBER!F49+DESEMBER!F49)</f>
        <v>0</v>
      </c>
      <c r="G49" s="23">
        <f>SUM(JANUARI!G49+FEBRUARI!G49+MARET!G49+APRIL!G49+MEI!G49+JUNI!G49+JULI!G49+AGUSTUS!G49+SEPTEMBER!G49+OKTOBER!G49+NOVEMBER!G49+DESEMBER!G49)</f>
        <v>0</v>
      </c>
      <c r="H49" s="23">
        <f>SUM(JANUARI!H49+FEBRUARI!H49+MARET!H49+APRIL!H49+MEI!H49+JUNI!H49+JULI!H49+AGUSTUS!H49+SEPTEMBER!H49+OKTOBER!H49+NOVEMBER!H49+DESEMBER!H49)</f>
        <v>0</v>
      </c>
      <c r="I49" s="16">
        <f>SUM(JANUARI!I49+FEBRUARI!I49+MARET!I49+APRIL!I49+MEI!I49+JUNI!I49+JULI!I49+AGUSTUS!I49+SEPTEMBER!I49+OKTOBER!I49+NOVEMBER!I49+DESEMBER!I49)</f>
        <v>0</v>
      </c>
      <c r="J49" s="23">
        <f>SUM(JANUARI!J49+FEBRUARI!J49+MARET!J49+APRIL!J49+MEI!J49+JUNI!J49+JULI!J49+AGUSTUS!J49+SEPTEMBER!J49+OKTOBER!J49+NOVEMBER!J49+DESEMBER!J49)</f>
        <v>0</v>
      </c>
      <c r="K49" s="23">
        <f>SUM(JANUARI!K49+FEBRUARI!K49+MARET!K49+APRIL!K49+MEI!K49+JUNI!K49+JULI!K49+AGUSTUS!K49+SEPTEMBER!K49+OKTOBER!K49+NOVEMBER!K49+DESEMBER!K49)</f>
        <v>0</v>
      </c>
      <c r="L49" s="16">
        <f>SUM(JANUARI!L49+FEBRUARI!L49+MARET!L49+APRIL!L49+MEI!L49+JUNI!L49+JULI!L49+AGUSTUS!L49+SEPTEMBER!L49+OKTOBER!L49+NOVEMBER!L49+DESEMBER!L49)</f>
        <v>0</v>
      </c>
      <c r="M49" s="23">
        <f>SUM(JANUARI!M49+FEBRUARI!M49+MARET!M49+APRIL!M49+MEI!M49+JUNI!M49+JULI!M49+AGUSTUS!M49+SEPTEMBER!M49+OKTOBER!M49+NOVEMBER!M49+DESEMBER!M49)</f>
        <v>0</v>
      </c>
      <c r="N49" s="23">
        <f>SUM(JANUARI!N49+FEBRUARI!N49+MARET!N49+APRIL!N49+MEI!N49+JUNI!N49+JULI!N49+AGUSTUS!N49+SEPTEMBER!N49+OKTOBER!N49+NOVEMBER!N49+DESEMBER!N49)</f>
        <v>73</v>
      </c>
      <c r="O49" s="16">
        <f>SUM(JANUARI!O49+FEBRUARI!O49+MARET!O49+APRIL!O49+MEI!O49+JUNI!O49+JULI!O49+AGUSTUS!O49+SEPTEMBER!O49+OKTOBER!O49+NOVEMBER!O49+DESEMBER!O49)</f>
        <v>73</v>
      </c>
      <c r="P49" s="23">
        <f>SUM(JANUARI!P49+FEBRUARI!P49+MARET!P49+APRIL!P49+MEI!P49+JUNI!P49+JULI!P49+AGUSTUS!P49+SEPTEMBER!P49+OKTOBER!P49+NOVEMBER!P49+DESEMBER!P49)</f>
        <v>0</v>
      </c>
      <c r="Q49" s="23">
        <f>SUM(JANUARI!Q49+FEBRUARI!Q49+MARET!Q49+APRIL!Q49+MEI!Q49+JUNI!Q49+JULI!Q49+AGUSTUS!Q49+SEPTEMBER!Q49+OKTOBER!Q49+NOVEMBER!Q49+DESEMBER!Q49)</f>
        <v>45</v>
      </c>
      <c r="R49" s="16">
        <f>SUM(JANUARI!R49+FEBRUARI!R49+MARET!R49+APRIL!R49+MEI!R49+JUNI!R49+JULI!R49+AGUSTUS!R49+SEPTEMBER!R49+OKTOBER!R49+NOVEMBER!R49+DESEMBER!R49)</f>
        <v>45</v>
      </c>
      <c r="S49" s="23">
        <f>SUM(JANUARI!S49+FEBRUARI!S49+MARET!S49+APRIL!S49+MEI!S49+JUNI!S49+JULI!S49+AGUSTUS!S49+SEPTEMBER!S49+OKTOBER!S49+NOVEMBER!S49+DESEMBER!S49)</f>
        <v>8</v>
      </c>
      <c r="T49" s="23">
        <f>SUM(JANUARI!T49+FEBRUARI!T49+MARET!T49+APRIL!T49+MEI!T49+JUNI!T49+JULI!T49+AGUSTUS!T49+SEPTEMBER!T49+OKTOBER!T49+NOVEMBER!T49+DESEMBER!T49)</f>
        <v>97</v>
      </c>
      <c r="U49" s="16">
        <f>SUM(JANUARI!U49+FEBRUARI!U49+MARET!U49+APRIL!U49+MEI!U49+JUNI!U49+JULI!U49+AGUSTUS!U49+SEPTEMBER!U49+OKTOBER!U49+NOVEMBER!U49+DESEMBER!U49)</f>
        <v>105</v>
      </c>
    </row>
    <row r="50">
      <c r="A50" s="19"/>
      <c r="B50" s="20" t="s">
        <v>22</v>
      </c>
      <c r="C50" s="21" t="s">
        <v>23</v>
      </c>
      <c r="D50" s="23">
        <f>SUM(JANUARI!D50+FEBRUARI!D50+MARET!D50+APRIL!D50+MEI!D50+JUNI!D50+JULI!D50+AGUSTUS!D50+SEPTEMBER!D50+OKTOBER!D50+NOVEMBER!D50+DESEMBER!D50)</f>
        <v>0</v>
      </c>
      <c r="E50" s="23">
        <f>SUM(JANUARI!E50+FEBRUARI!E50+MARET!E50+APRIL!E50+MEI!E50+JUNI!E50+JULI!E50+AGUSTUS!E50+SEPTEMBER!E50+OKTOBER!E50+NOVEMBER!E50+DESEMBER!E50)</f>
        <v>0</v>
      </c>
      <c r="F50" s="16">
        <f>SUM(JANUARI!F50+FEBRUARI!F50+MARET!F50+APRIL!F50+MEI!F50+JUNI!F50+JULI!F50+AGUSTUS!F50+SEPTEMBER!F50+OKTOBER!F50+NOVEMBER!F50+DESEMBER!F50)</f>
        <v>0</v>
      </c>
      <c r="G50" s="23">
        <f>SUM(JANUARI!G50+FEBRUARI!G50+MARET!G50+APRIL!G50+MEI!G50+JUNI!G50+JULI!G50+AGUSTUS!G50+SEPTEMBER!G50+OKTOBER!G50+NOVEMBER!G50+DESEMBER!G50)</f>
        <v>0</v>
      </c>
      <c r="H50" s="23">
        <f>SUM(JANUARI!H50+FEBRUARI!H50+MARET!H50+APRIL!H50+MEI!H50+JUNI!H50+JULI!H50+AGUSTUS!H50+SEPTEMBER!H50+OKTOBER!H50+NOVEMBER!H50+DESEMBER!H50)</f>
        <v>0</v>
      </c>
      <c r="I50" s="16">
        <f>SUM(JANUARI!I50+FEBRUARI!I50+MARET!I50+APRIL!I50+MEI!I50+JUNI!I50+JULI!I50+AGUSTUS!I50+SEPTEMBER!I50+OKTOBER!I50+NOVEMBER!I50+DESEMBER!I50)</f>
        <v>0</v>
      </c>
      <c r="J50" s="23">
        <f>SUM(JANUARI!J50+FEBRUARI!J50+MARET!J50+APRIL!J50+MEI!J50+JUNI!J50+JULI!J50+AGUSTUS!J50+SEPTEMBER!J50+OKTOBER!J50+NOVEMBER!J50+DESEMBER!J50)</f>
        <v>0</v>
      </c>
      <c r="K50" s="23">
        <f>SUM(JANUARI!K50+FEBRUARI!K50+MARET!K50+APRIL!K50+MEI!K50+JUNI!K50+JULI!K50+AGUSTUS!K50+SEPTEMBER!K50+OKTOBER!K50+NOVEMBER!K50+DESEMBER!K50)</f>
        <v>0</v>
      </c>
      <c r="L50" s="16">
        <f>SUM(JANUARI!L50+FEBRUARI!L50+MARET!L50+APRIL!L50+MEI!L50+JUNI!L50+JULI!L50+AGUSTUS!L50+SEPTEMBER!L50+OKTOBER!L50+NOVEMBER!L50+DESEMBER!L50)</f>
        <v>0</v>
      </c>
      <c r="M50" s="23">
        <f>SUM(JANUARI!M50+FEBRUARI!M50+MARET!M50+APRIL!M50+MEI!M50+JUNI!M50+JULI!M50+AGUSTUS!M50+SEPTEMBER!M50+OKTOBER!M50+NOVEMBER!M50+DESEMBER!M50)</f>
        <v>7</v>
      </c>
      <c r="N50" s="23">
        <f>SUM(JANUARI!N50+FEBRUARI!N50+MARET!N50+APRIL!N50+MEI!N50+JUNI!N50+JULI!N50+AGUSTUS!N50+SEPTEMBER!N50+OKTOBER!N50+NOVEMBER!N50+DESEMBER!N50)</f>
        <v>8</v>
      </c>
      <c r="O50" s="16">
        <f>SUM(JANUARI!O50+FEBRUARI!O50+MARET!O50+APRIL!O50+MEI!O50+JUNI!O50+JULI!O50+AGUSTUS!O50+SEPTEMBER!O50+OKTOBER!O50+NOVEMBER!O50+DESEMBER!O50)</f>
        <v>15</v>
      </c>
      <c r="P50" s="23">
        <f>SUM(JANUARI!P50+FEBRUARI!P50+MARET!P50+APRIL!P50+MEI!P50+JUNI!P50+JULI!P50+AGUSTUS!P50+SEPTEMBER!P50+OKTOBER!P50+NOVEMBER!P50+DESEMBER!P50)</f>
        <v>0</v>
      </c>
      <c r="Q50" s="23">
        <f>SUM(JANUARI!Q50+FEBRUARI!Q50+MARET!Q50+APRIL!Q50+MEI!Q50+JUNI!Q50+JULI!Q50+AGUSTUS!Q50+SEPTEMBER!Q50+OKTOBER!Q50+NOVEMBER!Q50+DESEMBER!Q50)</f>
        <v>6</v>
      </c>
      <c r="R50" s="16">
        <f>SUM(JANUARI!R50+FEBRUARI!R50+MARET!R50+APRIL!R50+MEI!R50+JUNI!R50+JULI!R50+AGUSTUS!R50+SEPTEMBER!R50+OKTOBER!R50+NOVEMBER!R50+DESEMBER!R50)</f>
        <v>6</v>
      </c>
      <c r="S50" s="23">
        <f>SUM(JANUARI!S50+FEBRUARI!S50+MARET!S50+APRIL!S50+MEI!S50+JUNI!S50+JULI!S50+AGUSTUS!S50+SEPTEMBER!S50+OKTOBER!S50+NOVEMBER!S50+DESEMBER!S50)</f>
        <v>3</v>
      </c>
      <c r="T50" s="23">
        <f>SUM(JANUARI!T50+FEBRUARI!T50+MARET!T50+APRIL!T50+MEI!T50+JUNI!T50+JULI!T50+AGUSTUS!T50+SEPTEMBER!T50+OKTOBER!T50+NOVEMBER!T50+DESEMBER!T50)</f>
        <v>2</v>
      </c>
      <c r="U50" s="16">
        <f>SUM(JANUARI!U50+FEBRUARI!U50+MARET!U50+APRIL!U50+MEI!U50+JUNI!U50+JULI!U50+AGUSTUS!U50+SEPTEMBER!U50+OKTOBER!U50+NOVEMBER!U50+DESEMBER!U50)</f>
        <v>5</v>
      </c>
    </row>
    <row r="51">
      <c r="A51" s="19"/>
      <c r="B51" s="20" t="s">
        <v>25</v>
      </c>
      <c r="C51" s="21" t="s">
        <v>26</v>
      </c>
      <c r="D51" s="23">
        <f>SUM(JANUARI!D51+FEBRUARI!D51+MARET!D51+APRIL!D51+MEI!D51+JUNI!D51+JULI!D51+AGUSTUS!D51+SEPTEMBER!D51+OKTOBER!D51+NOVEMBER!D51+DESEMBER!D51)</f>
        <v>0</v>
      </c>
      <c r="E51" s="23">
        <f>SUM(JANUARI!E51+FEBRUARI!E51+MARET!E51+APRIL!E51+MEI!E51+JUNI!E51+JULI!E51+AGUSTUS!E51+SEPTEMBER!E51+OKTOBER!E51+NOVEMBER!E51+DESEMBER!E51)</f>
        <v>0</v>
      </c>
      <c r="F51" s="16">
        <f>SUM(JANUARI!F51+FEBRUARI!F51+MARET!F51+APRIL!F51+MEI!F51+JUNI!F51+JULI!F51+AGUSTUS!F51+SEPTEMBER!F51+OKTOBER!F51+NOVEMBER!F51+DESEMBER!F51)</f>
        <v>0</v>
      </c>
      <c r="G51" s="23">
        <f>SUM(JANUARI!G51+FEBRUARI!G51+MARET!G51+APRIL!G51+MEI!G51+JUNI!G51+JULI!G51+AGUSTUS!G51+SEPTEMBER!G51+OKTOBER!G51+NOVEMBER!G51+DESEMBER!G51)</f>
        <v>0</v>
      </c>
      <c r="H51" s="23">
        <f>SUM(JANUARI!H51+FEBRUARI!H51+MARET!H51+APRIL!H51+MEI!H51+JUNI!H51+JULI!H51+AGUSTUS!H51+SEPTEMBER!H51+OKTOBER!H51+NOVEMBER!H51+DESEMBER!H51)</f>
        <v>0</v>
      </c>
      <c r="I51" s="16">
        <f>SUM(JANUARI!I51+FEBRUARI!I51+MARET!I51+APRIL!I51+MEI!I51+JUNI!I51+JULI!I51+AGUSTUS!I51+SEPTEMBER!I51+OKTOBER!I51+NOVEMBER!I51+DESEMBER!I51)</f>
        <v>0</v>
      </c>
      <c r="J51" s="23">
        <f>SUM(JANUARI!J51+FEBRUARI!J51+MARET!J51+APRIL!J51+MEI!J51+JUNI!J51+JULI!J51+AGUSTUS!J51+SEPTEMBER!J51+OKTOBER!J51+NOVEMBER!J51+DESEMBER!J51)</f>
        <v>0</v>
      </c>
      <c r="K51" s="23">
        <f>SUM(JANUARI!K51+FEBRUARI!K51+MARET!K51+APRIL!K51+MEI!K51+JUNI!K51+JULI!K51+AGUSTUS!K51+SEPTEMBER!K51+OKTOBER!K51+NOVEMBER!K51+DESEMBER!K51)</f>
        <v>0</v>
      </c>
      <c r="L51" s="16">
        <f>SUM(JANUARI!L51+FEBRUARI!L51+MARET!L51+APRIL!L51+MEI!L51+JUNI!L51+JULI!L51+AGUSTUS!L51+SEPTEMBER!L51+OKTOBER!L51+NOVEMBER!L51+DESEMBER!L51)</f>
        <v>0</v>
      </c>
      <c r="M51" s="23">
        <f>SUM(JANUARI!M51+FEBRUARI!M51+MARET!M51+APRIL!M51+MEI!M51+JUNI!M51+JULI!M51+AGUSTUS!M51+SEPTEMBER!M51+OKTOBER!M51+NOVEMBER!M51+DESEMBER!M51)</f>
        <v>33</v>
      </c>
      <c r="N51" s="23">
        <f>SUM(JANUARI!N51+FEBRUARI!N51+MARET!N51+APRIL!N51+MEI!N51+JUNI!N51+JULI!N51+AGUSTUS!N51+SEPTEMBER!N51+OKTOBER!N51+NOVEMBER!N51+DESEMBER!N51)</f>
        <v>37</v>
      </c>
      <c r="O51" s="16">
        <f>SUM(JANUARI!O51+FEBRUARI!O51+MARET!O51+APRIL!O51+MEI!O51+JUNI!O51+JULI!O51+AGUSTUS!O51+SEPTEMBER!O51+OKTOBER!O51+NOVEMBER!O51+DESEMBER!O51)</f>
        <v>70</v>
      </c>
      <c r="P51" s="23">
        <f>SUM(JANUARI!P51+FEBRUARI!P51+MARET!P51+APRIL!P51+MEI!P51+JUNI!P51+JULI!P51+AGUSTUS!P51+SEPTEMBER!P51+OKTOBER!P51+NOVEMBER!P51+DESEMBER!P51)</f>
        <v>3</v>
      </c>
      <c r="Q51" s="23">
        <f>SUM(JANUARI!Q51+FEBRUARI!Q51+MARET!Q51+APRIL!Q51+MEI!Q51+JUNI!Q51+JULI!Q51+AGUSTUS!Q51+SEPTEMBER!Q51+OKTOBER!Q51+NOVEMBER!Q51+DESEMBER!Q51)</f>
        <v>3</v>
      </c>
      <c r="R51" s="16">
        <f>SUM(JANUARI!R51+FEBRUARI!R51+MARET!R51+APRIL!R51+MEI!R51+JUNI!R51+JULI!R51+AGUSTUS!R51+SEPTEMBER!R51+OKTOBER!R51+NOVEMBER!R51+DESEMBER!R51)</f>
        <v>6</v>
      </c>
      <c r="S51" s="23">
        <f>SUM(JANUARI!S51+FEBRUARI!S51+MARET!S51+APRIL!S51+MEI!S51+JUNI!S51+JULI!S51+AGUSTUS!S51+SEPTEMBER!S51+OKTOBER!S51+NOVEMBER!S51+DESEMBER!S51)</f>
        <v>1</v>
      </c>
      <c r="T51" s="23">
        <f>SUM(JANUARI!T51+FEBRUARI!T51+MARET!T51+APRIL!T51+MEI!T51+JUNI!T51+JULI!T51+AGUSTUS!T51+SEPTEMBER!T51+OKTOBER!T51+NOVEMBER!T51+DESEMBER!T51)</f>
        <v>4</v>
      </c>
      <c r="U51" s="16">
        <f>SUM(JANUARI!U51+FEBRUARI!U51+MARET!U51+APRIL!U51+MEI!U51+JUNI!U51+JULI!U51+AGUSTUS!U51+SEPTEMBER!U51+OKTOBER!U51+NOVEMBER!U51+DESEMBER!U51)</f>
        <v>5</v>
      </c>
    </row>
    <row r="52">
      <c r="A52" s="19"/>
      <c r="B52" s="20" t="s">
        <v>27</v>
      </c>
      <c r="C52" s="21" t="s">
        <v>28</v>
      </c>
      <c r="D52" s="23">
        <f>SUM(JANUARI!D52+FEBRUARI!D52+MARET!D52+APRIL!D52+MEI!D52+JUNI!D52+JULI!D52+AGUSTUS!D52+SEPTEMBER!D52+OKTOBER!D52+NOVEMBER!D52+DESEMBER!D52)</f>
        <v>0</v>
      </c>
      <c r="E52" s="23">
        <f>SUM(JANUARI!E52+FEBRUARI!E52+MARET!E52+APRIL!E52+MEI!E52+JUNI!E52+JULI!E52+AGUSTUS!E52+SEPTEMBER!E52+OKTOBER!E52+NOVEMBER!E52+DESEMBER!E52)</f>
        <v>0</v>
      </c>
      <c r="F52" s="16">
        <f>SUM(JANUARI!F52+FEBRUARI!F52+MARET!F52+APRIL!F52+MEI!F52+JUNI!F52+JULI!F52+AGUSTUS!F52+SEPTEMBER!F52+OKTOBER!F52+NOVEMBER!F52+DESEMBER!F52)</f>
        <v>0</v>
      </c>
      <c r="G52" s="23">
        <f>SUM(JANUARI!G52+FEBRUARI!G52+MARET!G52+APRIL!G52+MEI!G52+JUNI!G52+JULI!G52+AGUSTUS!G52+SEPTEMBER!G52+OKTOBER!G52+NOVEMBER!G52+DESEMBER!G52)</f>
        <v>0</v>
      </c>
      <c r="H52" s="23">
        <f>SUM(JANUARI!H52+FEBRUARI!H52+MARET!H52+APRIL!H52+MEI!H52+JUNI!H52+JULI!H52+AGUSTUS!H52+SEPTEMBER!H52+OKTOBER!H52+NOVEMBER!H52+DESEMBER!H52)</f>
        <v>0</v>
      </c>
      <c r="I52" s="16">
        <f>SUM(JANUARI!I52+FEBRUARI!I52+MARET!I52+APRIL!I52+MEI!I52+JUNI!I52+JULI!I52+AGUSTUS!I52+SEPTEMBER!I52+OKTOBER!I52+NOVEMBER!I52+DESEMBER!I52)</f>
        <v>0</v>
      </c>
      <c r="J52" s="23">
        <f>SUM(JANUARI!J52+FEBRUARI!J52+MARET!J52+APRIL!J52+MEI!J52+JUNI!J52+JULI!J52+AGUSTUS!J52+SEPTEMBER!J52+OKTOBER!J52+NOVEMBER!J52+DESEMBER!J52)</f>
        <v>0</v>
      </c>
      <c r="K52" s="23">
        <f>SUM(JANUARI!K52+FEBRUARI!K52+MARET!K52+APRIL!K52+MEI!K52+JUNI!K52+JULI!K52+AGUSTUS!K52+SEPTEMBER!K52+OKTOBER!K52+NOVEMBER!K52+DESEMBER!K52)</f>
        <v>0</v>
      </c>
      <c r="L52" s="16">
        <f>SUM(JANUARI!L52+FEBRUARI!L52+MARET!L52+APRIL!L52+MEI!L52+JUNI!L52+JULI!L52+AGUSTUS!L52+SEPTEMBER!L52+OKTOBER!L52+NOVEMBER!L52+DESEMBER!L52)</f>
        <v>0</v>
      </c>
      <c r="M52" s="23">
        <f>SUM(JANUARI!M52+FEBRUARI!M52+MARET!M52+APRIL!M52+MEI!M52+JUNI!M52+JULI!M52+AGUSTUS!M52+SEPTEMBER!M52+OKTOBER!M52+NOVEMBER!M52+DESEMBER!M52)</f>
        <v>21</v>
      </c>
      <c r="N52" s="23">
        <f>SUM(JANUARI!N52+FEBRUARI!N52+MARET!N52+APRIL!N52+MEI!N52+JUNI!N52+JULI!N52+AGUSTUS!N52+SEPTEMBER!N52+OKTOBER!N52+NOVEMBER!N52+DESEMBER!N52)</f>
        <v>27</v>
      </c>
      <c r="O52" s="16">
        <f>SUM(JANUARI!O52+FEBRUARI!O52+MARET!O52+APRIL!O52+MEI!O52+JUNI!O52+JULI!O52+AGUSTUS!O52+SEPTEMBER!O52+OKTOBER!O52+NOVEMBER!O52+DESEMBER!O52)</f>
        <v>48</v>
      </c>
      <c r="P52" s="23">
        <f>SUM(JANUARI!P52+FEBRUARI!P52+MARET!P52+APRIL!P52+MEI!P52+JUNI!P52+JULI!P52+AGUSTUS!P52+SEPTEMBER!P52+OKTOBER!P52+NOVEMBER!P52+DESEMBER!P52)</f>
        <v>1</v>
      </c>
      <c r="Q52" s="23">
        <f>SUM(JANUARI!Q52+FEBRUARI!Q52+MARET!Q52+APRIL!Q52+MEI!Q52+JUNI!Q52+JULI!Q52+AGUSTUS!Q52+SEPTEMBER!Q52+OKTOBER!Q52+NOVEMBER!Q52+DESEMBER!Q52)</f>
        <v>1</v>
      </c>
      <c r="R52" s="16">
        <f>SUM(JANUARI!R52+FEBRUARI!R52+MARET!R52+APRIL!R52+MEI!R52+JUNI!R52+JULI!R52+AGUSTUS!R52+SEPTEMBER!R52+OKTOBER!R52+NOVEMBER!R52+DESEMBER!R52)</f>
        <v>2</v>
      </c>
      <c r="S52" s="23">
        <f>SUM(JANUARI!S52+FEBRUARI!S52+MARET!S52+APRIL!S52+MEI!S52+JUNI!S52+JULI!S52+AGUSTUS!S52+SEPTEMBER!S52+OKTOBER!S52+NOVEMBER!S52+DESEMBER!S52)</f>
        <v>0</v>
      </c>
      <c r="T52" s="23">
        <f>SUM(JANUARI!T52+FEBRUARI!T52+MARET!T52+APRIL!T52+MEI!T52+JUNI!T52+JULI!T52+AGUSTUS!T52+SEPTEMBER!T52+OKTOBER!T52+NOVEMBER!T52+DESEMBER!T52)</f>
        <v>0</v>
      </c>
      <c r="U52" s="16">
        <f>SUM(JANUARI!U52+FEBRUARI!U52+MARET!U52+APRIL!U52+MEI!U52+JUNI!U52+JULI!U52+AGUSTUS!U52+SEPTEMBER!U52+OKTOBER!U52+NOVEMBER!U52+DESEMBER!U52)</f>
        <v>0</v>
      </c>
    </row>
    <row r="53">
      <c r="A53" s="19"/>
      <c r="B53" s="20" t="s">
        <v>29</v>
      </c>
      <c r="C53" s="21" t="s">
        <v>30</v>
      </c>
      <c r="D53" s="23">
        <f>SUM(JANUARI!D53+FEBRUARI!D53+MARET!D53+APRIL!D53+MEI!D53+JUNI!D53+JULI!D53+AGUSTUS!D53+SEPTEMBER!D53+OKTOBER!D53+NOVEMBER!D53+DESEMBER!D53)</f>
        <v>0</v>
      </c>
      <c r="E53" s="23">
        <f>SUM(JANUARI!E53+FEBRUARI!E53+MARET!E53+APRIL!E53+MEI!E53+JUNI!E53+JULI!E53+AGUSTUS!E53+SEPTEMBER!E53+OKTOBER!E53+NOVEMBER!E53+DESEMBER!E53)</f>
        <v>0</v>
      </c>
      <c r="F53" s="16">
        <f>SUM(JANUARI!F53+FEBRUARI!F53+MARET!F53+APRIL!F53+MEI!F53+JUNI!F53+JULI!F53+AGUSTUS!F53+SEPTEMBER!F53+OKTOBER!F53+NOVEMBER!F53+DESEMBER!F53)</f>
        <v>0</v>
      </c>
      <c r="G53" s="23">
        <f>SUM(JANUARI!G53+FEBRUARI!G53+MARET!G53+APRIL!G53+MEI!G53+JUNI!G53+JULI!G53+AGUSTUS!G53+SEPTEMBER!G53+OKTOBER!G53+NOVEMBER!G53+DESEMBER!G53)</f>
        <v>0</v>
      </c>
      <c r="H53" s="23">
        <f>SUM(JANUARI!H53+FEBRUARI!H53+MARET!H53+APRIL!H53+MEI!H53+JUNI!H53+JULI!H53+AGUSTUS!H53+SEPTEMBER!H53+OKTOBER!H53+NOVEMBER!H53+DESEMBER!H53)</f>
        <v>0</v>
      </c>
      <c r="I53" s="16">
        <f>SUM(JANUARI!I53+FEBRUARI!I53+MARET!I53+APRIL!I53+MEI!I53+JUNI!I53+JULI!I53+AGUSTUS!I53+SEPTEMBER!I53+OKTOBER!I53+NOVEMBER!I53+DESEMBER!I53)</f>
        <v>0</v>
      </c>
      <c r="J53" s="23">
        <f>SUM(JANUARI!J53+FEBRUARI!J53+MARET!J53+APRIL!J53+MEI!J53+JUNI!J53+JULI!J53+AGUSTUS!J53+SEPTEMBER!J53+OKTOBER!J53+NOVEMBER!J53+DESEMBER!J53)</f>
        <v>0</v>
      </c>
      <c r="K53" s="23">
        <f>SUM(JANUARI!K53+FEBRUARI!K53+MARET!K53+APRIL!K53+MEI!K53+JUNI!K53+JULI!K53+AGUSTUS!K53+SEPTEMBER!K53+OKTOBER!K53+NOVEMBER!K53+DESEMBER!K53)</f>
        <v>0</v>
      </c>
      <c r="L53" s="16">
        <f>SUM(JANUARI!L53+FEBRUARI!L53+MARET!L53+APRIL!L53+MEI!L53+JUNI!L53+JULI!L53+AGUSTUS!L53+SEPTEMBER!L53+OKTOBER!L53+NOVEMBER!L53+DESEMBER!L53)</f>
        <v>0</v>
      </c>
      <c r="M53" s="23">
        <f>SUM(JANUARI!M53+FEBRUARI!M53+MARET!M53+APRIL!M53+MEI!M53+JUNI!M53+JULI!M53+AGUSTUS!M53+SEPTEMBER!M53+OKTOBER!M53+NOVEMBER!M53+DESEMBER!M53)</f>
        <v>0</v>
      </c>
      <c r="N53" s="23">
        <f>SUM(JANUARI!N53+FEBRUARI!N53+MARET!N53+APRIL!N53+MEI!N53+JUNI!N53+JULI!N53+AGUSTUS!N53+SEPTEMBER!N53+OKTOBER!N53+NOVEMBER!N53+DESEMBER!N53)</f>
        <v>0</v>
      </c>
      <c r="O53" s="16">
        <f>SUM(JANUARI!O53+FEBRUARI!O53+MARET!O53+APRIL!O53+MEI!O53+JUNI!O53+JULI!O53+AGUSTUS!O53+SEPTEMBER!O53+OKTOBER!O53+NOVEMBER!O53+DESEMBER!O53)</f>
        <v>0</v>
      </c>
      <c r="P53" s="23">
        <f>SUM(JANUARI!P53+FEBRUARI!P53+MARET!P53+APRIL!P53+MEI!P53+JUNI!P53+JULI!P53+AGUSTUS!P53+SEPTEMBER!P53+OKTOBER!P53+NOVEMBER!P53+DESEMBER!P53)</f>
        <v>0</v>
      </c>
      <c r="Q53" s="23">
        <f>SUM(JANUARI!Q53+FEBRUARI!Q53+MARET!Q53+APRIL!Q53+MEI!Q53+JUNI!Q53+JULI!Q53+AGUSTUS!Q53+SEPTEMBER!Q53+OKTOBER!Q53+NOVEMBER!Q53+DESEMBER!Q53)</f>
        <v>0</v>
      </c>
      <c r="R53" s="16">
        <f>SUM(JANUARI!R53+FEBRUARI!R53+MARET!R53+APRIL!R53+MEI!R53+JUNI!R53+JULI!R53+AGUSTUS!R53+SEPTEMBER!R53+OKTOBER!R53+NOVEMBER!R53+DESEMBER!R53)</f>
        <v>0</v>
      </c>
      <c r="S53" s="23">
        <f>SUM(JANUARI!S53+FEBRUARI!S53+MARET!S53+APRIL!S53+MEI!S53+JUNI!S53+JULI!S53+AGUSTUS!S53+SEPTEMBER!S53+OKTOBER!S53+NOVEMBER!S53+DESEMBER!S53)</f>
        <v>0</v>
      </c>
      <c r="T53" s="23">
        <f>SUM(JANUARI!T53+FEBRUARI!T53+MARET!T53+APRIL!T53+MEI!T53+JUNI!T53+JULI!T53+AGUSTUS!T53+SEPTEMBER!T53+OKTOBER!T53+NOVEMBER!T53+DESEMBER!T53)</f>
        <v>0</v>
      </c>
      <c r="U53" s="16">
        <f>SUM(JANUARI!U53+FEBRUARI!U53+MARET!U53+APRIL!U53+MEI!U53+JUNI!U53+JULI!U53+AGUSTUS!U53+SEPTEMBER!U53+OKTOBER!U53+NOVEMBER!U53+DESEMBER!U53)</f>
        <v>0</v>
      </c>
    </row>
    <row r="54">
      <c r="A54" s="19"/>
      <c r="B54" s="20" t="s">
        <v>31</v>
      </c>
      <c r="C54" s="21" t="s">
        <v>32</v>
      </c>
      <c r="D54" s="23">
        <f>SUM(JANUARI!D54+FEBRUARI!D54+MARET!D54+APRIL!D54+MEI!D54+JUNI!D54+JULI!D54+AGUSTUS!D54+SEPTEMBER!D54+OKTOBER!D54+NOVEMBER!D54+DESEMBER!D54)</f>
        <v>0</v>
      </c>
      <c r="E54" s="23">
        <f>SUM(JANUARI!E54+FEBRUARI!E54+MARET!E54+APRIL!E54+MEI!E54+JUNI!E54+JULI!E54+AGUSTUS!E54+SEPTEMBER!E54+OKTOBER!E54+NOVEMBER!E54+DESEMBER!E54)</f>
        <v>0</v>
      </c>
      <c r="F54" s="16">
        <f>SUM(JANUARI!F54+FEBRUARI!F54+MARET!F54+APRIL!F54+MEI!F54+JUNI!F54+JULI!F54+AGUSTUS!F54+SEPTEMBER!F54+OKTOBER!F54+NOVEMBER!F54+DESEMBER!F54)</f>
        <v>0</v>
      </c>
      <c r="G54" s="23">
        <f>SUM(JANUARI!G54+FEBRUARI!G54+MARET!G54+APRIL!G54+MEI!G54+JUNI!G54+JULI!G54+AGUSTUS!G54+SEPTEMBER!G54+OKTOBER!G54+NOVEMBER!G54+DESEMBER!G54)</f>
        <v>0</v>
      </c>
      <c r="H54" s="23">
        <f>SUM(JANUARI!H54+FEBRUARI!H54+MARET!H54+APRIL!H54+MEI!H54+JUNI!H54+JULI!H54+AGUSTUS!H54+SEPTEMBER!H54+OKTOBER!H54+NOVEMBER!H54+DESEMBER!H54)</f>
        <v>0</v>
      </c>
      <c r="I54" s="16">
        <f>SUM(JANUARI!I54+FEBRUARI!I54+MARET!I54+APRIL!I54+MEI!I54+JUNI!I54+JULI!I54+AGUSTUS!I54+SEPTEMBER!I54+OKTOBER!I54+NOVEMBER!I54+DESEMBER!I54)</f>
        <v>0</v>
      </c>
      <c r="J54" s="23">
        <f>SUM(JANUARI!J54+FEBRUARI!J54+MARET!J54+APRIL!J54+MEI!J54+JUNI!J54+JULI!J54+AGUSTUS!J54+SEPTEMBER!J54+OKTOBER!J54+NOVEMBER!J54+DESEMBER!J54)</f>
        <v>0</v>
      </c>
      <c r="K54" s="23">
        <f>SUM(JANUARI!K54+FEBRUARI!K54+MARET!K54+APRIL!K54+MEI!K54+JUNI!K54+JULI!K54+AGUSTUS!K54+SEPTEMBER!K54+OKTOBER!K54+NOVEMBER!K54+DESEMBER!K54)</f>
        <v>0</v>
      </c>
      <c r="L54" s="16">
        <f>SUM(JANUARI!L54+FEBRUARI!L54+MARET!L54+APRIL!L54+MEI!L54+JUNI!L54+JULI!L54+AGUSTUS!L54+SEPTEMBER!L54+OKTOBER!L54+NOVEMBER!L54+DESEMBER!L54)</f>
        <v>0</v>
      </c>
      <c r="M54" s="23">
        <f>SUM(JANUARI!M54+FEBRUARI!M54+MARET!M54+APRIL!M54+MEI!M54+JUNI!M54+JULI!M54+AGUSTUS!M54+SEPTEMBER!M54+OKTOBER!M54+NOVEMBER!M54+DESEMBER!M54)</f>
        <v>0</v>
      </c>
      <c r="N54" s="23">
        <f>SUM(JANUARI!N54+FEBRUARI!N54+MARET!N54+APRIL!N54+MEI!N54+JUNI!N54+JULI!N54+AGUSTUS!N54+SEPTEMBER!N54+OKTOBER!N54+NOVEMBER!N54+DESEMBER!N54)</f>
        <v>0</v>
      </c>
      <c r="O54" s="16">
        <f>SUM(JANUARI!O54+FEBRUARI!O54+MARET!O54+APRIL!O54+MEI!O54+JUNI!O54+JULI!O54+AGUSTUS!O54+SEPTEMBER!O54+OKTOBER!O54+NOVEMBER!O54+DESEMBER!O54)</f>
        <v>0</v>
      </c>
      <c r="P54" s="23">
        <f>SUM(JANUARI!P54+FEBRUARI!P54+MARET!P54+APRIL!P54+MEI!P54+JUNI!P54+JULI!P54+AGUSTUS!P54+SEPTEMBER!P54+OKTOBER!P54+NOVEMBER!P54+DESEMBER!P54)</f>
        <v>0</v>
      </c>
      <c r="Q54" s="23">
        <f>SUM(JANUARI!Q54+FEBRUARI!Q54+MARET!Q54+APRIL!Q54+MEI!Q54+JUNI!Q54+JULI!Q54+AGUSTUS!Q54+SEPTEMBER!Q54+OKTOBER!Q54+NOVEMBER!Q54+DESEMBER!Q54)</f>
        <v>3</v>
      </c>
      <c r="R54" s="16">
        <f>SUM(JANUARI!R54+FEBRUARI!R54+MARET!R54+APRIL!R54+MEI!R54+JUNI!R54+JULI!R54+AGUSTUS!R54+SEPTEMBER!R54+OKTOBER!R54+NOVEMBER!R54+DESEMBER!R54)</f>
        <v>3</v>
      </c>
      <c r="S54" s="23">
        <f>SUM(JANUARI!S54+FEBRUARI!S54+MARET!S54+APRIL!S54+MEI!S54+JUNI!S54+JULI!S54+AGUSTUS!S54+SEPTEMBER!S54+OKTOBER!S54+NOVEMBER!S54+DESEMBER!S54)</f>
        <v>0</v>
      </c>
      <c r="T54" s="23">
        <f>SUM(JANUARI!T54+FEBRUARI!T54+MARET!T54+APRIL!T54+MEI!T54+JUNI!T54+JULI!T54+AGUSTUS!T54+SEPTEMBER!T54+OKTOBER!T54+NOVEMBER!T54+DESEMBER!T54)</f>
        <v>0</v>
      </c>
      <c r="U54" s="16">
        <f>SUM(JANUARI!U54+FEBRUARI!U54+MARET!U54+APRIL!U54+MEI!U54+JUNI!U54+JULI!U54+AGUSTUS!U54+SEPTEMBER!U54+OKTOBER!U54+NOVEMBER!U54+DESEMBER!U54)</f>
        <v>0</v>
      </c>
    </row>
    <row r="55">
      <c r="A55" s="10"/>
      <c r="B55" s="20" t="s">
        <v>33</v>
      </c>
      <c r="C55" s="21" t="s">
        <v>34</v>
      </c>
      <c r="D55" s="23">
        <f>SUM(JANUARI!D55+FEBRUARI!D55+MARET!D55+APRIL!D55+MEI!D55+JUNI!D55+JULI!D55+AGUSTUS!D55+SEPTEMBER!D55+OKTOBER!D55+NOVEMBER!D55+DESEMBER!D55)</f>
        <v>0</v>
      </c>
      <c r="E55" s="23">
        <f>SUM(JANUARI!E55+FEBRUARI!E55+MARET!E55+APRIL!E55+MEI!E55+JUNI!E55+JULI!E55+AGUSTUS!E55+SEPTEMBER!E55+OKTOBER!E55+NOVEMBER!E55+DESEMBER!E55)</f>
        <v>0</v>
      </c>
      <c r="F55" s="16">
        <f>SUM(JANUARI!F55+FEBRUARI!F55+MARET!F55+APRIL!F55+MEI!F55+JUNI!F55+JULI!F55+AGUSTUS!F55+SEPTEMBER!F55+OKTOBER!F55+NOVEMBER!F55+DESEMBER!F55)</f>
        <v>0</v>
      </c>
      <c r="G55" s="23">
        <f>SUM(JANUARI!G55+FEBRUARI!G55+MARET!G55+APRIL!G55+MEI!G55+JUNI!G55+JULI!G55+AGUSTUS!G55+SEPTEMBER!G55+OKTOBER!G55+NOVEMBER!G55+DESEMBER!G55)</f>
        <v>0</v>
      </c>
      <c r="H55" s="23">
        <f>SUM(JANUARI!H55+FEBRUARI!H55+MARET!H55+APRIL!H55+MEI!H55+JUNI!H55+JULI!H55+AGUSTUS!H55+SEPTEMBER!H55+OKTOBER!H55+NOVEMBER!H55+DESEMBER!H55)</f>
        <v>0</v>
      </c>
      <c r="I55" s="16">
        <f>SUM(JANUARI!I55+FEBRUARI!I55+MARET!I55+APRIL!I55+MEI!I55+JUNI!I55+JULI!I55+AGUSTUS!I55+SEPTEMBER!I55+OKTOBER!I55+NOVEMBER!I55+DESEMBER!I55)</f>
        <v>0</v>
      </c>
      <c r="J55" s="23">
        <f>SUM(JANUARI!J55+FEBRUARI!J55+MARET!J55+APRIL!J55+MEI!J55+JUNI!J55+JULI!J55+AGUSTUS!J55+SEPTEMBER!J55+OKTOBER!J55+NOVEMBER!J55+DESEMBER!J55)</f>
        <v>0</v>
      </c>
      <c r="K55" s="23">
        <f>SUM(JANUARI!K55+FEBRUARI!K55+MARET!K55+APRIL!K55+MEI!K55+JUNI!K55+JULI!K55+AGUSTUS!K55+SEPTEMBER!K55+OKTOBER!K55+NOVEMBER!K55+DESEMBER!K55)</f>
        <v>0</v>
      </c>
      <c r="L55" s="16">
        <f>SUM(JANUARI!L55+FEBRUARI!L55+MARET!L55+APRIL!L55+MEI!L55+JUNI!L55+JULI!L55+AGUSTUS!L55+SEPTEMBER!L55+OKTOBER!L55+NOVEMBER!L55+DESEMBER!L55)</f>
        <v>0</v>
      </c>
      <c r="M55" s="23">
        <f>SUM(JANUARI!M55+FEBRUARI!M55+MARET!M55+APRIL!M55+MEI!M55+JUNI!M55+JULI!M55+AGUSTUS!M55+SEPTEMBER!M55+OKTOBER!M55+NOVEMBER!M55+DESEMBER!M55)</f>
        <v>0</v>
      </c>
      <c r="N55" s="23">
        <f>SUM(JANUARI!N55+FEBRUARI!N55+MARET!N55+APRIL!N55+MEI!N55+JUNI!N55+JULI!N55+AGUSTUS!N55+SEPTEMBER!N55+OKTOBER!N55+NOVEMBER!N55+DESEMBER!N55)</f>
        <v>0</v>
      </c>
      <c r="O55" s="16">
        <f>SUM(JANUARI!O55+FEBRUARI!O55+MARET!O55+APRIL!O55+MEI!O55+JUNI!O55+JULI!O55+AGUSTUS!O55+SEPTEMBER!O55+OKTOBER!O55+NOVEMBER!O55+DESEMBER!O55)</f>
        <v>0</v>
      </c>
      <c r="P55" s="23">
        <f>SUM(JANUARI!P55+FEBRUARI!P55+MARET!P55+APRIL!P55+MEI!P55+JUNI!P55+JULI!P55+AGUSTUS!P55+SEPTEMBER!P55+OKTOBER!P55+NOVEMBER!P55+DESEMBER!P55)</f>
        <v>0</v>
      </c>
      <c r="Q55" s="23">
        <f>SUM(JANUARI!Q55+FEBRUARI!Q55+MARET!Q55+APRIL!Q55+MEI!Q55+JUNI!Q55+JULI!Q55+AGUSTUS!Q55+SEPTEMBER!Q55+OKTOBER!Q55+NOVEMBER!Q55+DESEMBER!Q55)</f>
        <v>0</v>
      </c>
      <c r="R55" s="16">
        <f>SUM(JANUARI!R55+FEBRUARI!R55+MARET!R55+APRIL!R55+MEI!R55+JUNI!R55+JULI!R55+AGUSTUS!R55+SEPTEMBER!R55+OKTOBER!R55+NOVEMBER!R55+DESEMBER!R55)</f>
        <v>0</v>
      </c>
      <c r="S55" s="23">
        <f>SUM(JANUARI!S55+FEBRUARI!S55+MARET!S55+APRIL!S55+MEI!S55+JUNI!S55+JULI!S55+AGUSTUS!S55+SEPTEMBER!S55+OKTOBER!S55+NOVEMBER!S55+DESEMBER!S55)</f>
        <v>0</v>
      </c>
      <c r="T55" s="23">
        <f>SUM(JANUARI!T55+FEBRUARI!T55+MARET!T55+APRIL!T55+MEI!T55+JUNI!T55+JULI!T55+AGUSTUS!T55+SEPTEMBER!T55+OKTOBER!T55+NOVEMBER!T55+DESEMBER!T55)</f>
        <v>0</v>
      </c>
      <c r="U55" s="16">
        <f>SUM(JANUARI!U55+FEBRUARI!U55+MARET!U55+APRIL!U55+MEI!U55+JUNI!U55+JULI!U55+AGUSTUS!U55+SEPTEMBER!U55+OKTOBER!U55+NOVEMBER!U55+DESEMBER!U55)</f>
        <v>0</v>
      </c>
    </row>
    <row r="56">
      <c r="A56" s="17">
        <v>3.0</v>
      </c>
      <c r="B56" s="18" t="s">
        <v>35</v>
      </c>
      <c r="C56" s="9"/>
      <c r="D56" s="16">
        <f>SUM(JANUARI!D56+FEBRUARI!D56+MARET!D56+APRIL!D56+MEI!D56+JUNI!D56+JULI!D56+AGUSTUS!D56+SEPTEMBER!D56+OKTOBER!D56+NOVEMBER!D56+DESEMBER!D56)</f>
        <v>0</v>
      </c>
      <c r="E56" s="16">
        <f>SUM(JANUARI!E56+FEBRUARI!E56+MARET!E56+APRIL!E56+MEI!E56+JUNI!E56+JULI!E56+AGUSTUS!E56+SEPTEMBER!E56+OKTOBER!E56+NOVEMBER!E56+DESEMBER!E56)</f>
        <v>0</v>
      </c>
      <c r="F56" s="16">
        <f>SUM(JANUARI!F56+FEBRUARI!F56+MARET!F56+APRIL!F56+MEI!F56+JUNI!F56+JULI!F56+AGUSTUS!F56+SEPTEMBER!F56+OKTOBER!F56+NOVEMBER!F56+DESEMBER!F56)</f>
        <v>0</v>
      </c>
      <c r="G56" s="16">
        <f>SUM(JANUARI!G56+FEBRUARI!G56+MARET!G56+APRIL!G56+MEI!G56+JUNI!G56+JULI!G56+AGUSTUS!G56+SEPTEMBER!G56+OKTOBER!G56+NOVEMBER!G56+DESEMBER!G56)</f>
        <v>0</v>
      </c>
      <c r="H56" s="16">
        <f>SUM(JANUARI!H56+FEBRUARI!H56+MARET!H56+APRIL!H56+MEI!H56+JUNI!H56+JULI!H56+AGUSTUS!H56+SEPTEMBER!H56+OKTOBER!H56+NOVEMBER!H56+DESEMBER!H56)</f>
        <v>0</v>
      </c>
      <c r="I56" s="16">
        <f>SUM(JANUARI!I56+FEBRUARI!I56+MARET!I56+APRIL!I56+MEI!I56+JUNI!I56+JULI!I56+AGUSTUS!I56+SEPTEMBER!I56+OKTOBER!I56+NOVEMBER!I56+DESEMBER!I56)</f>
        <v>0</v>
      </c>
      <c r="J56" s="16">
        <f>SUM(JANUARI!J56+FEBRUARI!J56+MARET!J56+APRIL!J56+MEI!J56+JUNI!J56+JULI!J56+AGUSTUS!J56+SEPTEMBER!J56+OKTOBER!J56+NOVEMBER!J56+DESEMBER!J56)</f>
        <v>0</v>
      </c>
      <c r="K56" s="16">
        <f>SUM(JANUARI!K56+FEBRUARI!K56+MARET!K56+APRIL!K56+MEI!K56+JUNI!K56+JULI!K56+AGUSTUS!K56+SEPTEMBER!K56+OKTOBER!K56+NOVEMBER!K56+DESEMBER!K56)</f>
        <v>0</v>
      </c>
      <c r="L56" s="16">
        <f>SUM(JANUARI!L56+FEBRUARI!L56+MARET!L56+APRIL!L56+MEI!L56+JUNI!L56+JULI!L56+AGUSTUS!L56+SEPTEMBER!L56+OKTOBER!L56+NOVEMBER!L56+DESEMBER!L56)</f>
        <v>0</v>
      </c>
      <c r="M56" s="16">
        <f>SUM(JANUARI!M56+FEBRUARI!M56+MARET!M56+APRIL!M56+MEI!M56+JUNI!M56+JULI!M56+AGUSTUS!M56+SEPTEMBER!M56+OKTOBER!M56+NOVEMBER!M56+DESEMBER!M56)</f>
        <v>439</v>
      </c>
      <c r="N56" s="16">
        <f>SUM(JANUARI!N56+FEBRUARI!N56+MARET!N56+APRIL!N56+MEI!N56+JUNI!N56+JULI!N56+AGUSTUS!N56+SEPTEMBER!N56+OKTOBER!N56+NOVEMBER!N56+DESEMBER!N56)</f>
        <v>1011</v>
      </c>
      <c r="O56" s="16">
        <f>SUM(JANUARI!O56+FEBRUARI!O56+MARET!O56+APRIL!O56+MEI!O56+JUNI!O56+JULI!O56+AGUSTUS!O56+SEPTEMBER!O56+OKTOBER!O56+NOVEMBER!O56+DESEMBER!O56)</f>
        <v>1450</v>
      </c>
      <c r="P56" s="16">
        <f>SUM(JANUARI!P56+FEBRUARI!P56+MARET!P56+APRIL!P56+MEI!P56+JUNI!P56+JULI!P56+AGUSTUS!P56+SEPTEMBER!P56+OKTOBER!P56+NOVEMBER!P56+DESEMBER!P56)</f>
        <v>82</v>
      </c>
      <c r="Q56" s="16">
        <f>SUM(JANUARI!Q56+FEBRUARI!Q56+MARET!Q56+APRIL!Q56+MEI!Q56+JUNI!Q56+JULI!Q56+AGUSTUS!Q56+SEPTEMBER!Q56+OKTOBER!Q56+NOVEMBER!Q56+DESEMBER!Q56)</f>
        <v>421</v>
      </c>
      <c r="R56" s="16">
        <f>SUM(JANUARI!R56+FEBRUARI!R56+MARET!R56+APRIL!R56+MEI!R56+JUNI!R56+JULI!R56+AGUSTUS!R56+SEPTEMBER!R56+OKTOBER!R56+NOVEMBER!R56+DESEMBER!R56)</f>
        <v>503</v>
      </c>
      <c r="S56" s="16">
        <f>SUM(JANUARI!S56+FEBRUARI!S56+MARET!S56+APRIL!S56+MEI!S56+JUNI!S56+JULI!S56+AGUSTUS!S56+SEPTEMBER!S56+OKTOBER!S56+NOVEMBER!S56+DESEMBER!S56)</f>
        <v>325</v>
      </c>
      <c r="T56" s="16">
        <f>SUM(JANUARI!T56+FEBRUARI!T56+MARET!T56+APRIL!T56+MEI!T56+JUNI!T56+JULI!T56+AGUSTUS!T56+SEPTEMBER!T56+OKTOBER!T56+NOVEMBER!T56+DESEMBER!T56)</f>
        <v>1103</v>
      </c>
      <c r="U56" s="16">
        <f>SUM(JANUARI!U56+FEBRUARI!U56+MARET!U56+APRIL!U56+MEI!U56+JUNI!U56+JULI!U56+AGUSTUS!U56+SEPTEMBER!U56+OKTOBER!U56+NOVEMBER!U56+DESEMBER!U56)</f>
        <v>1428</v>
      </c>
    </row>
    <row r="57">
      <c r="A57" s="19"/>
      <c r="B57" s="20" t="s">
        <v>16</v>
      </c>
      <c r="C57" s="21" t="s">
        <v>36</v>
      </c>
      <c r="D57" s="23">
        <f>SUM(JANUARI!D57+FEBRUARI!D57+MARET!D57+APRIL!D57+MEI!D57+JUNI!D57+JULI!D57+AGUSTUS!D57+SEPTEMBER!D57+OKTOBER!D57+NOVEMBER!D57+DESEMBER!D57)</f>
        <v>0</v>
      </c>
      <c r="E57" s="23">
        <f>SUM(JANUARI!E57+FEBRUARI!E57+MARET!E57+APRIL!E57+MEI!E57+JUNI!E57+JULI!E57+AGUSTUS!E57+SEPTEMBER!E57+OKTOBER!E57+NOVEMBER!E57+DESEMBER!E57)</f>
        <v>0</v>
      </c>
      <c r="F57" s="16">
        <f>SUM(JANUARI!F57+FEBRUARI!F57+MARET!F57+APRIL!F57+MEI!F57+JUNI!F57+JULI!F57+AGUSTUS!F57+SEPTEMBER!F57+OKTOBER!F57+NOVEMBER!F57+DESEMBER!F57)</f>
        <v>0</v>
      </c>
      <c r="G57" s="23">
        <f>SUM(JANUARI!G57+FEBRUARI!G57+MARET!G57+APRIL!G57+MEI!G57+JUNI!G57+JULI!G57+AGUSTUS!G57+SEPTEMBER!G57+OKTOBER!G57+NOVEMBER!G57+DESEMBER!G57)</f>
        <v>0</v>
      </c>
      <c r="H57" s="23">
        <f>SUM(JANUARI!H57+FEBRUARI!H57+MARET!H57+APRIL!H57+MEI!H57+JUNI!H57+JULI!H57+AGUSTUS!H57+SEPTEMBER!H57+OKTOBER!H57+NOVEMBER!H57+DESEMBER!H57)</f>
        <v>0</v>
      </c>
      <c r="I57" s="16">
        <f>SUM(JANUARI!I57+FEBRUARI!I57+MARET!I57+APRIL!I57+MEI!I57+JUNI!I57+JULI!I57+AGUSTUS!I57+SEPTEMBER!I57+OKTOBER!I57+NOVEMBER!I57+DESEMBER!I57)</f>
        <v>0</v>
      </c>
      <c r="J57" s="23">
        <f>SUM(JANUARI!J57+FEBRUARI!J57+MARET!J57+APRIL!J57+MEI!J57+JUNI!J57+JULI!J57+AGUSTUS!J57+SEPTEMBER!J57+OKTOBER!J57+NOVEMBER!J57+DESEMBER!J57)</f>
        <v>0</v>
      </c>
      <c r="K57" s="23">
        <f>SUM(JANUARI!K57+FEBRUARI!K57+MARET!K57+APRIL!K57+MEI!K57+JUNI!K57+JULI!K57+AGUSTUS!K57+SEPTEMBER!K57+OKTOBER!K57+NOVEMBER!K57+DESEMBER!K57)</f>
        <v>0</v>
      </c>
      <c r="L57" s="16">
        <f>SUM(JANUARI!L57+FEBRUARI!L57+MARET!L57+APRIL!L57+MEI!L57+JUNI!L57+JULI!L57+AGUSTUS!L57+SEPTEMBER!L57+OKTOBER!L57+NOVEMBER!L57+DESEMBER!L57)</f>
        <v>0</v>
      </c>
      <c r="M57" s="23">
        <f>SUM(JANUARI!M57+FEBRUARI!M57+MARET!M57+APRIL!M57+MEI!M57+JUNI!M57+JULI!M57+AGUSTUS!M57+SEPTEMBER!M57+OKTOBER!M57+NOVEMBER!M57+DESEMBER!M57)</f>
        <v>13</v>
      </c>
      <c r="N57" s="23">
        <f>SUM(JANUARI!N57+FEBRUARI!N57+MARET!N57+APRIL!N57+MEI!N57+JUNI!N57+JULI!N57+AGUSTUS!N57+SEPTEMBER!N57+OKTOBER!N57+NOVEMBER!N57+DESEMBER!N57)</f>
        <v>45</v>
      </c>
      <c r="O57" s="16">
        <f>SUM(JANUARI!O57+FEBRUARI!O57+MARET!O57+APRIL!O57+MEI!O57+JUNI!O57+JULI!O57+AGUSTUS!O57+SEPTEMBER!O57+OKTOBER!O57+NOVEMBER!O57+DESEMBER!O57)</f>
        <v>58</v>
      </c>
      <c r="P57" s="23">
        <f>SUM(JANUARI!P57+FEBRUARI!P57+MARET!P57+APRIL!P57+MEI!P57+JUNI!P57+JULI!P57+AGUSTUS!P57+SEPTEMBER!P57+OKTOBER!P57+NOVEMBER!P57+DESEMBER!P57)</f>
        <v>4</v>
      </c>
      <c r="Q57" s="23">
        <f>SUM(JANUARI!Q57+FEBRUARI!Q57+MARET!Q57+APRIL!Q57+MEI!Q57+JUNI!Q57+JULI!Q57+AGUSTUS!Q57+SEPTEMBER!Q57+OKTOBER!Q57+NOVEMBER!Q57+DESEMBER!Q57)</f>
        <v>21</v>
      </c>
      <c r="R57" s="16">
        <f>SUM(JANUARI!R57+FEBRUARI!R57+MARET!R57+APRIL!R57+MEI!R57+JUNI!R57+JULI!R57+AGUSTUS!R57+SEPTEMBER!R57+OKTOBER!R57+NOVEMBER!R57+DESEMBER!R57)</f>
        <v>25</v>
      </c>
      <c r="S57" s="23">
        <f>SUM(JANUARI!S57+FEBRUARI!S57+MARET!S57+APRIL!S57+MEI!S57+JUNI!S57+JULI!S57+AGUSTUS!S57+SEPTEMBER!S57+OKTOBER!S57+NOVEMBER!S57+DESEMBER!S57)</f>
        <v>19</v>
      </c>
      <c r="T57" s="23">
        <f>SUM(JANUARI!T57+FEBRUARI!T57+MARET!T57+APRIL!T57+MEI!T57+JUNI!T57+JULI!T57+AGUSTUS!T57+SEPTEMBER!T57+OKTOBER!T57+NOVEMBER!T57+DESEMBER!T57)</f>
        <v>58</v>
      </c>
      <c r="U57" s="16">
        <f>SUM(JANUARI!U57+FEBRUARI!U57+MARET!U57+APRIL!U57+MEI!U57+JUNI!U57+JULI!U57+AGUSTUS!U57+SEPTEMBER!U57+OKTOBER!U57+NOVEMBER!U57+DESEMBER!U57)</f>
        <v>77</v>
      </c>
    </row>
    <row r="58">
      <c r="A58" s="19"/>
      <c r="B58" s="20" t="s">
        <v>19</v>
      </c>
      <c r="C58" s="21" t="s">
        <v>37</v>
      </c>
      <c r="D58" s="23">
        <f>SUM(JANUARI!D58+FEBRUARI!D58+MARET!D58+APRIL!D58+MEI!D58+JUNI!D58+JULI!D58+AGUSTUS!D58+SEPTEMBER!D58+OKTOBER!D58+NOVEMBER!D58+DESEMBER!D58)</f>
        <v>0</v>
      </c>
      <c r="E58" s="23">
        <f>SUM(JANUARI!E58+FEBRUARI!E58+MARET!E58+APRIL!E58+MEI!E58+JUNI!E58+JULI!E58+AGUSTUS!E58+SEPTEMBER!E58+OKTOBER!E58+NOVEMBER!E58+DESEMBER!E58)</f>
        <v>0</v>
      </c>
      <c r="F58" s="16">
        <f>SUM(JANUARI!F58+FEBRUARI!F58+MARET!F58+APRIL!F58+MEI!F58+JUNI!F58+JULI!F58+AGUSTUS!F58+SEPTEMBER!F58+OKTOBER!F58+NOVEMBER!F58+DESEMBER!F58)</f>
        <v>0</v>
      </c>
      <c r="G58" s="23">
        <f>SUM(JANUARI!G58+FEBRUARI!G58+MARET!G58+APRIL!G58+MEI!G58+JUNI!G58+JULI!G58+AGUSTUS!G58+SEPTEMBER!G58+OKTOBER!G58+NOVEMBER!G58+DESEMBER!G58)</f>
        <v>0</v>
      </c>
      <c r="H58" s="23">
        <f>SUM(JANUARI!H58+FEBRUARI!H58+MARET!H58+APRIL!H58+MEI!H58+JUNI!H58+JULI!H58+AGUSTUS!H58+SEPTEMBER!H58+OKTOBER!H58+NOVEMBER!H58+DESEMBER!H58)</f>
        <v>0</v>
      </c>
      <c r="I58" s="16">
        <f>SUM(JANUARI!I58+FEBRUARI!I58+MARET!I58+APRIL!I58+MEI!I58+JUNI!I58+JULI!I58+AGUSTUS!I58+SEPTEMBER!I58+OKTOBER!I58+NOVEMBER!I58+DESEMBER!I58)</f>
        <v>0</v>
      </c>
      <c r="J58" s="23">
        <f>SUM(JANUARI!J58+FEBRUARI!J58+MARET!J58+APRIL!J58+MEI!J58+JUNI!J58+JULI!J58+AGUSTUS!J58+SEPTEMBER!J58+OKTOBER!J58+NOVEMBER!J58+DESEMBER!J58)</f>
        <v>0</v>
      </c>
      <c r="K58" s="23">
        <f>SUM(JANUARI!K58+FEBRUARI!K58+MARET!K58+APRIL!K58+MEI!K58+JUNI!K58+JULI!K58+AGUSTUS!K58+SEPTEMBER!K58+OKTOBER!K58+NOVEMBER!K58+DESEMBER!K58)</f>
        <v>0</v>
      </c>
      <c r="L58" s="16">
        <f>SUM(JANUARI!L58+FEBRUARI!L58+MARET!L58+APRIL!L58+MEI!L58+JUNI!L58+JULI!L58+AGUSTUS!L58+SEPTEMBER!L58+OKTOBER!L58+NOVEMBER!L58+DESEMBER!L58)</f>
        <v>0</v>
      </c>
      <c r="M58" s="23">
        <f>SUM(JANUARI!M58+FEBRUARI!M58+MARET!M58+APRIL!M58+MEI!M58+JUNI!M58+JULI!M58+AGUSTUS!M58+SEPTEMBER!M58+OKTOBER!M58+NOVEMBER!M58+DESEMBER!M58)</f>
        <v>73</v>
      </c>
      <c r="N58" s="23">
        <f>SUM(JANUARI!N58+FEBRUARI!N58+MARET!N58+APRIL!N58+MEI!N58+JUNI!N58+JULI!N58+AGUSTUS!N58+SEPTEMBER!N58+OKTOBER!N58+NOVEMBER!N58+DESEMBER!N58)</f>
        <v>115</v>
      </c>
      <c r="O58" s="16">
        <f>SUM(JANUARI!O58+FEBRUARI!O58+MARET!O58+APRIL!O58+MEI!O58+JUNI!O58+JULI!O58+AGUSTUS!O58+SEPTEMBER!O58+OKTOBER!O58+NOVEMBER!O58+DESEMBER!O58)</f>
        <v>188</v>
      </c>
      <c r="P58" s="23">
        <f>SUM(JANUARI!P58+FEBRUARI!P58+MARET!P58+APRIL!P58+MEI!P58+JUNI!P58+JULI!P58+AGUSTUS!P58+SEPTEMBER!P58+OKTOBER!P58+NOVEMBER!P58+DESEMBER!P58)</f>
        <v>8</v>
      </c>
      <c r="Q58" s="23">
        <f>SUM(JANUARI!Q58+FEBRUARI!Q58+MARET!Q58+APRIL!Q58+MEI!Q58+JUNI!Q58+JULI!Q58+AGUSTUS!Q58+SEPTEMBER!Q58+OKTOBER!Q58+NOVEMBER!Q58+DESEMBER!Q58)</f>
        <v>69</v>
      </c>
      <c r="R58" s="16">
        <f>SUM(JANUARI!R58+FEBRUARI!R58+MARET!R58+APRIL!R58+MEI!R58+JUNI!R58+JULI!R58+AGUSTUS!R58+SEPTEMBER!R58+OKTOBER!R58+NOVEMBER!R58+DESEMBER!R58)</f>
        <v>77</v>
      </c>
      <c r="S58" s="23">
        <f>SUM(JANUARI!S58+FEBRUARI!S58+MARET!S58+APRIL!S58+MEI!S58+JUNI!S58+JULI!S58+AGUSTUS!S58+SEPTEMBER!S58+OKTOBER!S58+NOVEMBER!S58+DESEMBER!S58)</f>
        <v>18</v>
      </c>
      <c r="T58" s="23">
        <f>SUM(JANUARI!T58+FEBRUARI!T58+MARET!T58+APRIL!T58+MEI!T58+JUNI!T58+JULI!T58+AGUSTUS!T58+SEPTEMBER!T58+OKTOBER!T58+NOVEMBER!T58+DESEMBER!T58)</f>
        <v>130</v>
      </c>
      <c r="U58" s="16">
        <f>SUM(JANUARI!U58+FEBRUARI!U58+MARET!U58+APRIL!U58+MEI!U58+JUNI!U58+JULI!U58+AGUSTUS!U58+SEPTEMBER!U58+OKTOBER!U58+NOVEMBER!U58+DESEMBER!U58)</f>
        <v>148</v>
      </c>
    </row>
    <row r="59">
      <c r="A59" s="19"/>
      <c r="B59" s="20" t="s">
        <v>22</v>
      </c>
      <c r="C59" s="21" t="s">
        <v>38</v>
      </c>
      <c r="D59" s="23">
        <f>SUM(JANUARI!D59+FEBRUARI!D59+MARET!D59+APRIL!D59+MEI!D59+JUNI!D59+JULI!D59+AGUSTUS!D59+SEPTEMBER!D59+OKTOBER!D59+NOVEMBER!D59+DESEMBER!D59)</f>
        <v>0</v>
      </c>
      <c r="E59" s="23">
        <f>SUM(JANUARI!E59+FEBRUARI!E59+MARET!E59+APRIL!E59+MEI!E59+JUNI!E59+JULI!E59+AGUSTUS!E59+SEPTEMBER!E59+OKTOBER!E59+NOVEMBER!E59+DESEMBER!E59)</f>
        <v>0</v>
      </c>
      <c r="F59" s="16">
        <f>SUM(JANUARI!F59+FEBRUARI!F59+MARET!F59+APRIL!F59+MEI!F59+JUNI!F59+JULI!F59+AGUSTUS!F59+SEPTEMBER!F59+OKTOBER!F59+NOVEMBER!F59+DESEMBER!F59)</f>
        <v>0</v>
      </c>
      <c r="G59" s="23">
        <f>SUM(JANUARI!G59+FEBRUARI!G59+MARET!G59+APRIL!G59+MEI!G59+JUNI!G59+JULI!G59+AGUSTUS!G59+SEPTEMBER!G59+OKTOBER!G59+NOVEMBER!G59+DESEMBER!G59)</f>
        <v>0</v>
      </c>
      <c r="H59" s="23">
        <f>SUM(JANUARI!H59+FEBRUARI!H59+MARET!H59+APRIL!H59+MEI!H59+JUNI!H59+JULI!H59+AGUSTUS!H59+SEPTEMBER!H59+OKTOBER!H59+NOVEMBER!H59+DESEMBER!H59)</f>
        <v>0</v>
      </c>
      <c r="I59" s="16">
        <f>SUM(JANUARI!I59+FEBRUARI!I59+MARET!I59+APRIL!I59+MEI!I59+JUNI!I59+JULI!I59+AGUSTUS!I59+SEPTEMBER!I59+OKTOBER!I59+NOVEMBER!I59+DESEMBER!I59)</f>
        <v>0</v>
      </c>
      <c r="J59" s="23">
        <f>SUM(JANUARI!J59+FEBRUARI!J59+MARET!J59+APRIL!J59+MEI!J59+JUNI!J59+JULI!J59+AGUSTUS!J59+SEPTEMBER!J59+OKTOBER!J59+NOVEMBER!J59+DESEMBER!J59)</f>
        <v>0</v>
      </c>
      <c r="K59" s="23">
        <f>SUM(JANUARI!K59+FEBRUARI!K59+MARET!K59+APRIL!K59+MEI!K59+JUNI!K59+JULI!K59+AGUSTUS!K59+SEPTEMBER!K59+OKTOBER!K59+NOVEMBER!K59+DESEMBER!K59)</f>
        <v>0</v>
      </c>
      <c r="L59" s="16">
        <f>SUM(JANUARI!L59+FEBRUARI!L59+MARET!L59+APRIL!L59+MEI!L59+JUNI!L59+JULI!L59+AGUSTUS!L59+SEPTEMBER!L59+OKTOBER!L59+NOVEMBER!L59+DESEMBER!L59)</f>
        <v>0</v>
      </c>
      <c r="M59" s="23">
        <f>SUM(JANUARI!M59+FEBRUARI!M59+MARET!M59+APRIL!M59+MEI!M59+JUNI!M59+JULI!M59+AGUSTUS!M59+SEPTEMBER!M59+OKTOBER!M59+NOVEMBER!M59+DESEMBER!M59)</f>
        <v>0</v>
      </c>
      <c r="N59" s="23">
        <f>SUM(JANUARI!N59+FEBRUARI!N59+MARET!N59+APRIL!N59+MEI!N59+JUNI!N59+JULI!N59+AGUSTUS!N59+SEPTEMBER!N59+OKTOBER!N59+NOVEMBER!N59+DESEMBER!N59)</f>
        <v>0</v>
      </c>
      <c r="O59" s="16">
        <f>SUM(JANUARI!O59+FEBRUARI!O59+MARET!O59+APRIL!O59+MEI!O59+JUNI!O59+JULI!O59+AGUSTUS!O59+SEPTEMBER!O59+OKTOBER!O59+NOVEMBER!O59+DESEMBER!O59)</f>
        <v>0</v>
      </c>
      <c r="P59" s="23">
        <f>SUM(JANUARI!P59+FEBRUARI!P59+MARET!P59+APRIL!P59+MEI!P59+JUNI!P59+JULI!P59+AGUSTUS!P59+SEPTEMBER!P59+OKTOBER!P59+NOVEMBER!P59+DESEMBER!P59)</f>
        <v>0</v>
      </c>
      <c r="Q59" s="23">
        <f>SUM(JANUARI!Q59+FEBRUARI!Q59+MARET!Q59+APRIL!Q59+MEI!Q59+JUNI!Q59+JULI!Q59+AGUSTUS!Q59+SEPTEMBER!Q59+OKTOBER!Q59+NOVEMBER!Q59+DESEMBER!Q59)</f>
        <v>0</v>
      </c>
      <c r="R59" s="16">
        <f>SUM(JANUARI!R59+FEBRUARI!R59+MARET!R59+APRIL!R59+MEI!R59+JUNI!R59+JULI!R59+AGUSTUS!R59+SEPTEMBER!R59+OKTOBER!R59+NOVEMBER!R59+DESEMBER!R59)</f>
        <v>0</v>
      </c>
      <c r="S59" s="23">
        <f>SUM(JANUARI!S59+FEBRUARI!S59+MARET!S59+APRIL!S59+MEI!S59+JUNI!S59+JULI!S59+AGUSTUS!S59+SEPTEMBER!S59+OKTOBER!S59+NOVEMBER!S59+DESEMBER!S59)</f>
        <v>0</v>
      </c>
      <c r="T59" s="23">
        <f>SUM(JANUARI!T59+FEBRUARI!T59+MARET!T59+APRIL!T59+MEI!T59+JUNI!T59+JULI!T59+AGUSTUS!T59+SEPTEMBER!T59+OKTOBER!T59+NOVEMBER!T59+DESEMBER!T59)</f>
        <v>1</v>
      </c>
      <c r="U59" s="16">
        <f>SUM(JANUARI!U59+FEBRUARI!U59+MARET!U59+APRIL!U59+MEI!U59+JUNI!U59+JULI!U59+AGUSTUS!U59+SEPTEMBER!U59+OKTOBER!U59+NOVEMBER!U59+DESEMBER!U59)</f>
        <v>1</v>
      </c>
    </row>
    <row r="60">
      <c r="A60" s="19"/>
      <c r="B60" s="20" t="s">
        <v>25</v>
      </c>
      <c r="C60" s="21" t="s">
        <v>39</v>
      </c>
      <c r="D60" s="23">
        <f>SUM(JANUARI!D60+FEBRUARI!D60+MARET!D60+APRIL!D60+MEI!D60+JUNI!D60+JULI!D60+AGUSTUS!D60+SEPTEMBER!D60+OKTOBER!D60+NOVEMBER!D60+DESEMBER!D60)</f>
        <v>0</v>
      </c>
      <c r="E60" s="23">
        <f>SUM(JANUARI!E60+FEBRUARI!E60+MARET!E60+APRIL!E60+MEI!E60+JUNI!E60+JULI!E60+AGUSTUS!E60+SEPTEMBER!E60+OKTOBER!E60+NOVEMBER!E60+DESEMBER!E60)</f>
        <v>0</v>
      </c>
      <c r="F60" s="16">
        <f>SUM(JANUARI!F60+FEBRUARI!F60+MARET!F60+APRIL!F60+MEI!F60+JUNI!F60+JULI!F60+AGUSTUS!F60+SEPTEMBER!F60+OKTOBER!F60+NOVEMBER!F60+DESEMBER!F60)</f>
        <v>0</v>
      </c>
      <c r="G60" s="23">
        <f>SUM(JANUARI!G60+FEBRUARI!G60+MARET!G60+APRIL!G60+MEI!G60+JUNI!G60+JULI!G60+AGUSTUS!G60+SEPTEMBER!G60+OKTOBER!G60+NOVEMBER!G60+DESEMBER!G60)</f>
        <v>0</v>
      </c>
      <c r="H60" s="23">
        <f>SUM(JANUARI!H60+FEBRUARI!H60+MARET!H60+APRIL!H60+MEI!H60+JUNI!H60+JULI!H60+AGUSTUS!H60+SEPTEMBER!H60+OKTOBER!H60+NOVEMBER!H60+DESEMBER!H60)</f>
        <v>0</v>
      </c>
      <c r="I60" s="16">
        <f>SUM(JANUARI!I60+FEBRUARI!I60+MARET!I60+APRIL!I60+MEI!I60+JUNI!I60+JULI!I60+AGUSTUS!I60+SEPTEMBER!I60+OKTOBER!I60+NOVEMBER!I60+DESEMBER!I60)</f>
        <v>0</v>
      </c>
      <c r="J60" s="23">
        <f>SUM(JANUARI!J60+FEBRUARI!J60+MARET!J60+APRIL!J60+MEI!J60+JUNI!J60+JULI!J60+AGUSTUS!J60+SEPTEMBER!J60+OKTOBER!J60+NOVEMBER!J60+DESEMBER!J60)</f>
        <v>0</v>
      </c>
      <c r="K60" s="23">
        <f>SUM(JANUARI!K60+FEBRUARI!K60+MARET!K60+APRIL!K60+MEI!K60+JUNI!K60+JULI!K60+AGUSTUS!K60+SEPTEMBER!K60+OKTOBER!K60+NOVEMBER!K60+DESEMBER!K60)</f>
        <v>0</v>
      </c>
      <c r="L60" s="16">
        <f>SUM(JANUARI!L60+FEBRUARI!L60+MARET!L60+APRIL!L60+MEI!L60+JUNI!L60+JULI!L60+AGUSTUS!L60+SEPTEMBER!L60+OKTOBER!L60+NOVEMBER!L60+DESEMBER!L60)</f>
        <v>0</v>
      </c>
      <c r="M60" s="23">
        <f>SUM(JANUARI!M60+FEBRUARI!M60+MARET!M60+APRIL!M60+MEI!M60+JUNI!M60+JULI!M60+AGUSTUS!M60+SEPTEMBER!M60+OKTOBER!M60+NOVEMBER!M60+DESEMBER!M60)</f>
        <v>0</v>
      </c>
      <c r="N60" s="23">
        <f>SUM(JANUARI!N60+FEBRUARI!N60+MARET!N60+APRIL!N60+MEI!N60+JUNI!N60+JULI!N60+AGUSTUS!N60+SEPTEMBER!N60+OKTOBER!N60+NOVEMBER!N60+DESEMBER!N60)</f>
        <v>0</v>
      </c>
      <c r="O60" s="16">
        <f>SUM(JANUARI!O60+FEBRUARI!O60+MARET!O60+APRIL!O60+MEI!O60+JUNI!O60+JULI!O60+AGUSTUS!O60+SEPTEMBER!O60+OKTOBER!O60+NOVEMBER!O60+DESEMBER!O60)</f>
        <v>0</v>
      </c>
      <c r="P60" s="23">
        <f>SUM(JANUARI!P60+FEBRUARI!P60+MARET!P60+APRIL!P60+MEI!P60+JUNI!P60+JULI!P60+AGUSTUS!P60+SEPTEMBER!P60+OKTOBER!P60+NOVEMBER!P60+DESEMBER!P60)</f>
        <v>0</v>
      </c>
      <c r="Q60" s="23">
        <f>SUM(JANUARI!Q60+FEBRUARI!Q60+MARET!Q60+APRIL!Q60+MEI!Q60+JUNI!Q60+JULI!Q60+AGUSTUS!Q60+SEPTEMBER!Q60+OKTOBER!Q60+NOVEMBER!Q60+DESEMBER!Q60)</f>
        <v>0</v>
      </c>
      <c r="R60" s="16">
        <f>SUM(JANUARI!R60+FEBRUARI!R60+MARET!R60+APRIL!R60+MEI!R60+JUNI!R60+JULI!R60+AGUSTUS!R60+SEPTEMBER!R60+OKTOBER!R60+NOVEMBER!R60+DESEMBER!R60)</f>
        <v>0</v>
      </c>
      <c r="S60" s="23">
        <f>SUM(JANUARI!S60+FEBRUARI!S60+MARET!S60+APRIL!S60+MEI!S60+JUNI!S60+JULI!S60+AGUSTUS!S60+SEPTEMBER!S60+OKTOBER!S60+NOVEMBER!S60+DESEMBER!S60)</f>
        <v>0</v>
      </c>
      <c r="T60" s="23">
        <f>SUM(JANUARI!T60+FEBRUARI!T60+MARET!T60+APRIL!T60+MEI!T60+JUNI!T60+JULI!T60+AGUSTUS!T60+SEPTEMBER!T60+OKTOBER!T60+NOVEMBER!T60+DESEMBER!T60)</f>
        <v>1</v>
      </c>
      <c r="U60" s="16">
        <f>SUM(JANUARI!U60+FEBRUARI!U60+MARET!U60+APRIL!U60+MEI!U60+JUNI!U60+JULI!U60+AGUSTUS!U60+SEPTEMBER!U60+OKTOBER!U60+NOVEMBER!U60+DESEMBER!U60)</f>
        <v>1</v>
      </c>
    </row>
    <row r="61">
      <c r="A61" s="19"/>
      <c r="B61" s="20" t="s">
        <v>27</v>
      </c>
      <c r="C61" s="21" t="s">
        <v>80</v>
      </c>
      <c r="D61" s="23">
        <f>SUM(JANUARI!D61+FEBRUARI!D61+MARET!D61+APRIL!D61+MEI!D61+JUNI!D61+JULI!D61+AGUSTUS!D61+SEPTEMBER!D61+OKTOBER!D61+NOVEMBER!D61+DESEMBER!D61)</f>
        <v>0</v>
      </c>
      <c r="E61" s="23">
        <f>SUM(JANUARI!E61+FEBRUARI!E61+MARET!E61+APRIL!E61+MEI!E61+JUNI!E61+JULI!E61+AGUSTUS!E61+SEPTEMBER!E61+OKTOBER!E61+NOVEMBER!E61+DESEMBER!E61)</f>
        <v>0</v>
      </c>
      <c r="F61" s="16">
        <f>SUM(JANUARI!F61+FEBRUARI!F61+MARET!F61+APRIL!F61+MEI!F61+JUNI!F61+JULI!F61+AGUSTUS!F61+SEPTEMBER!F61+OKTOBER!F61+NOVEMBER!F61+DESEMBER!F61)</f>
        <v>0</v>
      </c>
      <c r="G61" s="23">
        <f>SUM(JANUARI!G61+FEBRUARI!G61+MARET!G61+APRIL!G61+MEI!G61+JUNI!G61+JULI!G61+AGUSTUS!G61+SEPTEMBER!G61+OKTOBER!G61+NOVEMBER!G61+DESEMBER!G61)</f>
        <v>0</v>
      </c>
      <c r="H61" s="23">
        <f>SUM(JANUARI!H61+FEBRUARI!H61+MARET!H61+APRIL!H61+MEI!H61+JUNI!H61+JULI!H61+AGUSTUS!H61+SEPTEMBER!H61+OKTOBER!H61+NOVEMBER!H61+DESEMBER!H61)</f>
        <v>0</v>
      </c>
      <c r="I61" s="16">
        <f>SUM(JANUARI!I61+FEBRUARI!I61+MARET!I61+APRIL!I61+MEI!I61+JUNI!I61+JULI!I61+AGUSTUS!I61+SEPTEMBER!I61+OKTOBER!I61+NOVEMBER!I61+DESEMBER!I61)</f>
        <v>0</v>
      </c>
      <c r="J61" s="23">
        <f>SUM(JANUARI!J61+FEBRUARI!J61+MARET!J61+APRIL!J61+MEI!J61+JUNI!J61+JULI!J61+AGUSTUS!J61+SEPTEMBER!J61+OKTOBER!J61+NOVEMBER!J61+DESEMBER!J61)</f>
        <v>0</v>
      </c>
      <c r="K61" s="23">
        <f>SUM(JANUARI!K61+FEBRUARI!K61+MARET!K61+APRIL!K61+MEI!K61+JUNI!K61+JULI!K61+AGUSTUS!K61+SEPTEMBER!K61+OKTOBER!K61+NOVEMBER!K61+DESEMBER!K61)</f>
        <v>0</v>
      </c>
      <c r="L61" s="16">
        <f>SUM(JANUARI!L61+FEBRUARI!L61+MARET!L61+APRIL!L61+MEI!L61+JUNI!L61+JULI!L61+AGUSTUS!L61+SEPTEMBER!L61+OKTOBER!L61+NOVEMBER!L61+DESEMBER!L61)</f>
        <v>0</v>
      </c>
      <c r="M61" s="23">
        <f>SUM(JANUARI!M61+FEBRUARI!M61+MARET!M61+APRIL!M61+MEI!M61+JUNI!M61+JULI!M61+AGUSTUS!M61+SEPTEMBER!M61+OKTOBER!M61+NOVEMBER!M61+DESEMBER!M61)</f>
        <v>0</v>
      </c>
      <c r="N61" s="23">
        <f>SUM(JANUARI!N61+FEBRUARI!N61+MARET!N61+APRIL!N61+MEI!N61+JUNI!N61+JULI!N61+AGUSTUS!N61+SEPTEMBER!N61+OKTOBER!N61+NOVEMBER!N61+DESEMBER!N61)</f>
        <v>0</v>
      </c>
      <c r="O61" s="16">
        <f>SUM(JANUARI!O61+FEBRUARI!O61+MARET!O61+APRIL!O61+MEI!O61+JUNI!O61+JULI!O61+AGUSTUS!O61+SEPTEMBER!O61+OKTOBER!O61+NOVEMBER!O61+DESEMBER!O61)</f>
        <v>0</v>
      </c>
      <c r="P61" s="23">
        <f>SUM(JANUARI!P61+FEBRUARI!P61+MARET!P61+APRIL!P61+MEI!P61+JUNI!P61+JULI!P61+AGUSTUS!P61+SEPTEMBER!P61+OKTOBER!P61+NOVEMBER!P61+DESEMBER!P61)</f>
        <v>6</v>
      </c>
      <c r="Q61" s="23">
        <f>SUM(JANUARI!Q61+FEBRUARI!Q61+MARET!Q61+APRIL!Q61+MEI!Q61+JUNI!Q61+JULI!Q61+AGUSTUS!Q61+SEPTEMBER!Q61+OKTOBER!Q61+NOVEMBER!Q61+DESEMBER!Q61)</f>
        <v>14</v>
      </c>
      <c r="R61" s="16">
        <f>SUM(JANUARI!R61+FEBRUARI!R61+MARET!R61+APRIL!R61+MEI!R61+JUNI!R61+JULI!R61+AGUSTUS!R61+SEPTEMBER!R61+OKTOBER!R61+NOVEMBER!R61+DESEMBER!R61)</f>
        <v>20</v>
      </c>
      <c r="S61" s="23">
        <f>SUM(JANUARI!S61+FEBRUARI!S61+MARET!S61+APRIL!S61+MEI!S61+JUNI!S61+JULI!S61+AGUSTUS!S61+SEPTEMBER!S61+OKTOBER!S61+NOVEMBER!S61+DESEMBER!S61)</f>
        <v>9</v>
      </c>
      <c r="T61" s="23">
        <f>SUM(JANUARI!T61+FEBRUARI!T61+MARET!T61+APRIL!T61+MEI!T61+JUNI!T61+JULI!T61+AGUSTUS!T61+SEPTEMBER!T61+OKTOBER!T61+NOVEMBER!T61+DESEMBER!T61)</f>
        <v>80</v>
      </c>
      <c r="U61" s="16">
        <f>SUM(JANUARI!U61+FEBRUARI!U61+MARET!U61+APRIL!U61+MEI!U61+JUNI!U61+JULI!U61+AGUSTUS!U61+SEPTEMBER!U61+OKTOBER!U61+NOVEMBER!U61+DESEMBER!U61)</f>
        <v>89</v>
      </c>
    </row>
    <row r="62">
      <c r="A62" s="19"/>
      <c r="B62" s="20" t="s">
        <v>29</v>
      </c>
      <c r="C62" s="21" t="s">
        <v>41</v>
      </c>
      <c r="D62" s="23">
        <f>SUM(JANUARI!D62+FEBRUARI!D62+MARET!D62+APRIL!D62+MEI!D62+JUNI!D62+JULI!D62+AGUSTUS!D62+SEPTEMBER!D62+OKTOBER!D62+NOVEMBER!D62+DESEMBER!D62)</f>
        <v>0</v>
      </c>
      <c r="E62" s="23">
        <f>SUM(JANUARI!E62+FEBRUARI!E62+MARET!E62+APRIL!E62+MEI!E62+JUNI!E62+JULI!E62+AGUSTUS!E62+SEPTEMBER!E62+OKTOBER!E62+NOVEMBER!E62+DESEMBER!E62)</f>
        <v>0</v>
      </c>
      <c r="F62" s="16">
        <f>SUM(JANUARI!F62+FEBRUARI!F62+MARET!F62+APRIL!F62+MEI!F62+JUNI!F62+JULI!F62+AGUSTUS!F62+SEPTEMBER!F62+OKTOBER!F62+NOVEMBER!F62+DESEMBER!F62)</f>
        <v>0</v>
      </c>
      <c r="G62" s="23">
        <f>SUM(JANUARI!G62+FEBRUARI!G62+MARET!G62+APRIL!G62+MEI!G62+JUNI!G62+JULI!G62+AGUSTUS!G62+SEPTEMBER!G62+OKTOBER!G62+NOVEMBER!G62+DESEMBER!G62)</f>
        <v>0</v>
      </c>
      <c r="H62" s="23">
        <f>SUM(JANUARI!H62+FEBRUARI!H62+MARET!H62+APRIL!H62+MEI!H62+JUNI!H62+JULI!H62+AGUSTUS!H62+SEPTEMBER!H62+OKTOBER!H62+NOVEMBER!H62+DESEMBER!H62)</f>
        <v>0</v>
      </c>
      <c r="I62" s="16">
        <f>SUM(JANUARI!I62+FEBRUARI!I62+MARET!I62+APRIL!I62+MEI!I62+JUNI!I62+JULI!I62+AGUSTUS!I62+SEPTEMBER!I62+OKTOBER!I62+NOVEMBER!I62+DESEMBER!I62)</f>
        <v>0</v>
      </c>
      <c r="J62" s="23">
        <f>SUM(JANUARI!J62+FEBRUARI!J62+MARET!J62+APRIL!J62+MEI!J62+JUNI!J62+JULI!J62+AGUSTUS!J62+SEPTEMBER!J62+OKTOBER!J62+NOVEMBER!J62+DESEMBER!J62)</f>
        <v>0</v>
      </c>
      <c r="K62" s="23">
        <f>SUM(JANUARI!K62+FEBRUARI!K62+MARET!K62+APRIL!K62+MEI!K62+JUNI!K62+JULI!K62+AGUSTUS!K62+SEPTEMBER!K62+OKTOBER!K62+NOVEMBER!K62+DESEMBER!K62)</f>
        <v>0</v>
      </c>
      <c r="L62" s="16">
        <f>SUM(JANUARI!L62+FEBRUARI!L62+MARET!L62+APRIL!L62+MEI!L62+JUNI!L62+JULI!L62+AGUSTUS!L62+SEPTEMBER!L62+OKTOBER!L62+NOVEMBER!L62+DESEMBER!L62)</f>
        <v>0</v>
      </c>
      <c r="M62" s="23">
        <f>SUM(JANUARI!M62+FEBRUARI!M62+MARET!M62+APRIL!M62+MEI!M62+JUNI!M62+JULI!M62+AGUSTUS!M62+SEPTEMBER!M62+OKTOBER!M62+NOVEMBER!M62+DESEMBER!M62)</f>
        <v>1</v>
      </c>
      <c r="N62" s="23">
        <f>SUM(JANUARI!N62+FEBRUARI!N62+MARET!N62+APRIL!N62+MEI!N62+JUNI!N62+JULI!N62+AGUSTUS!N62+SEPTEMBER!N62+OKTOBER!N62+NOVEMBER!N62+DESEMBER!N62)</f>
        <v>1</v>
      </c>
      <c r="O62" s="16">
        <f>SUM(JANUARI!O62+FEBRUARI!O62+MARET!O62+APRIL!O62+MEI!O62+JUNI!O62+JULI!O62+AGUSTUS!O62+SEPTEMBER!O62+OKTOBER!O62+NOVEMBER!O62+DESEMBER!O62)</f>
        <v>2</v>
      </c>
      <c r="P62" s="23">
        <f>SUM(JANUARI!P62+FEBRUARI!P62+MARET!P62+APRIL!P62+MEI!P62+JUNI!P62+JULI!P62+AGUSTUS!P62+SEPTEMBER!P62+OKTOBER!P62+NOVEMBER!P62+DESEMBER!P62)</f>
        <v>0</v>
      </c>
      <c r="Q62" s="23">
        <f>SUM(JANUARI!Q62+FEBRUARI!Q62+MARET!Q62+APRIL!Q62+MEI!Q62+JUNI!Q62+JULI!Q62+AGUSTUS!Q62+SEPTEMBER!Q62+OKTOBER!Q62+NOVEMBER!Q62+DESEMBER!Q62)</f>
        <v>0</v>
      </c>
      <c r="R62" s="16">
        <f>SUM(JANUARI!R62+FEBRUARI!R62+MARET!R62+APRIL!R62+MEI!R62+JUNI!R62+JULI!R62+AGUSTUS!R62+SEPTEMBER!R62+OKTOBER!R62+NOVEMBER!R62+DESEMBER!R62)</f>
        <v>0</v>
      </c>
      <c r="S62" s="23">
        <f>SUM(JANUARI!S62+FEBRUARI!S62+MARET!S62+APRIL!S62+MEI!S62+JUNI!S62+JULI!S62+AGUSTUS!S62+SEPTEMBER!S62+OKTOBER!S62+NOVEMBER!S62+DESEMBER!S62)</f>
        <v>0</v>
      </c>
      <c r="T62" s="23">
        <f>SUM(JANUARI!T62+FEBRUARI!T62+MARET!T62+APRIL!T62+MEI!T62+JUNI!T62+JULI!T62+AGUSTUS!T62+SEPTEMBER!T62+OKTOBER!T62+NOVEMBER!T62+DESEMBER!T62)</f>
        <v>0</v>
      </c>
      <c r="U62" s="16">
        <f>SUM(JANUARI!U62+FEBRUARI!U62+MARET!U62+APRIL!U62+MEI!U62+JUNI!U62+JULI!U62+AGUSTUS!U62+SEPTEMBER!U62+OKTOBER!U62+NOVEMBER!U62+DESEMBER!U62)</f>
        <v>0</v>
      </c>
    </row>
    <row r="63">
      <c r="A63" s="19"/>
      <c r="B63" s="20" t="s">
        <v>31</v>
      </c>
      <c r="C63" s="21" t="s">
        <v>42</v>
      </c>
      <c r="D63" s="23">
        <f>SUM(JANUARI!D63+FEBRUARI!D63+MARET!D63+APRIL!D63+MEI!D63+JUNI!D63+JULI!D63+AGUSTUS!D63+SEPTEMBER!D63+OKTOBER!D63+NOVEMBER!D63+DESEMBER!D63)</f>
        <v>0</v>
      </c>
      <c r="E63" s="23">
        <f>SUM(JANUARI!E63+FEBRUARI!E63+MARET!E63+APRIL!E63+MEI!E63+JUNI!E63+JULI!E63+AGUSTUS!E63+SEPTEMBER!E63+OKTOBER!E63+NOVEMBER!E63+DESEMBER!E63)</f>
        <v>0</v>
      </c>
      <c r="F63" s="16">
        <f>SUM(JANUARI!F63+FEBRUARI!F63+MARET!F63+APRIL!F63+MEI!F63+JUNI!F63+JULI!F63+AGUSTUS!F63+SEPTEMBER!F63+OKTOBER!F63+NOVEMBER!F63+DESEMBER!F63)</f>
        <v>0</v>
      </c>
      <c r="G63" s="23">
        <f>SUM(JANUARI!G63+FEBRUARI!G63+MARET!G63+APRIL!G63+MEI!G63+JUNI!G63+JULI!G63+AGUSTUS!G63+SEPTEMBER!G63+OKTOBER!G63+NOVEMBER!G63+DESEMBER!G63)</f>
        <v>0</v>
      </c>
      <c r="H63" s="23">
        <f>SUM(JANUARI!H63+FEBRUARI!H63+MARET!H63+APRIL!H63+MEI!H63+JUNI!H63+JULI!H63+AGUSTUS!H63+SEPTEMBER!H63+OKTOBER!H63+NOVEMBER!H63+DESEMBER!H63)</f>
        <v>0</v>
      </c>
      <c r="I63" s="16">
        <f>SUM(JANUARI!I63+FEBRUARI!I63+MARET!I63+APRIL!I63+MEI!I63+JUNI!I63+JULI!I63+AGUSTUS!I63+SEPTEMBER!I63+OKTOBER!I63+NOVEMBER!I63+DESEMBER!I63)</f>
        <v>0</v>
      </c>
      <c r="J63" s="23">
        <f>SUM(JANUARI!J63+FEBRUARI!J63+MARET!J63+APRIL!J63+MEI!J63+JUNI!J63+JULI!J63+AGUSTUS!J63+SEPTEMBER!J63+OKTOBER!J63+NOVEMBER!J63+DESEMBER!J63)</f>
        <v>0</v>
      </c>
      <c r="K63" s="23">
        <f>SUM(JANUARI!K63+FEBRUARI!K63+MARET!K63+APRIL!K63+MEI!K63+JUNI!K63+JULI!K63+AGUSTUS!K63+SEPTEMBER!K63+OKTOBER!K63+NOVEMBER!K63+DESEMBER!K63)</f>
        <v>0</v>
      </c>
      <c r="L63" s="16">
        <f>SUM(JANUARI!L63+FEBRUARI!L63+MARET!L63+APRIL!L63+MEI!L63+JUNI!L63+JULI!L63+AGUSTUS!L63+SEPTEMBER!L63+OKTOBER!L63+NOVEMBER!L63+DESEMBER!L63)</f>
        <v>0</v>
      </c>
      <c r="M63" s="23">
        <f>SUM(JANUARI!M63+FEBRUARI!M63+MARET!M63+APRIL!M63+MEI!M63+JUNI!M63+JULI!M63+AGUSTUS!M63+SEPTEMBER!M63+OKTOBER!M63+NOVEMBER!M63+DESEMBER!M63)</f>
        <v>0</v>
      </c>
      <c r="N63" s="23">
        <f>SUM(JANUARI!N63+FEBRUARI!N63+MARET!N63+APRIL!N63+MEI!N63+JUNI!N63+JULI!N63+AGUSTUS!N63+SEPTEMBER!N63+OKTOBER!N63+NOVEMBER!N63+DESEMBER!N63)</f>
        <v>0</v>
      </c>
      <c r="O63" s="16">
        <f>SUM(JANUARI!O63+FEBRUARI!O63+MARET!O63+APRIL!O63+MEI!O63+JUNI!O63+JULI!O63+AGUSTUS!O63+SEPTEMBER!O63+OKTOBER!O63+NOVEMBER!O63+DESEMBER!O63)</f>
        <v>0</v>
      </c>
      <c r="P63" s="23">
        <f>SUM(JANUARI!P63+FEBRUARI!P63+MARET!P63+APRIL!P63+MEI!P63+JUNI!P63+JULI!P63+AGUSTUS!P63+SEPTEMBER!P63+OKTOBER!P63+NOVEMBER!P63+DESEMBER!P63)</f>
        <v>0</v>
      </c>
      <c r="Q63" s="23">
        <f>SUM(JANUARI!Q63+FEBRUARI!Q63+MARET!Q63+APRIL!Q63+MEI!Q63+JUNI!Q63+JULI!Q63+AGUSTUS!Q63+SEPTEMBER!Q63+OKTOBER!Q63+NOVEMBER!Q63+DESEMBER!Q63)</f>
        <v>9</v>
      </c>
      <c r="R63" s="16">
        <f>SUM(JANUARI!R63+FEBRUARI!R63+MARET!R63+APRIL!R63+MEI!R63+JUNI!R63+JULI!R63+AGUSTUS!R63+SEPTEMBER!R63+OKTOBER!R63+NOVEMBER!R63+DESEMBER!R63)</f>
        <v>9</v>
      </c>
      <c r="S63" s="23">
        <f>SUM(JANUARI!S63+FEBRUARI!S63+MARET!S63+APRIL!S63+MEI!S63+JUNI!S63+JULI!S63+AGUSTUS!S63+SEPTEMBER!S63+OKTOBER!S63+NOVEMBER!S63+DESEMBER!S63)</f>
        <v>0</v>
      </c>
      <c r="T63" s="23">
        <f>SUM(JANUARI!T63+FEBRUARI!T63+MARET!T63+APRIL!T63+MEI!T63+JUNI!T63+JULI!T63+AGUSTUS!T63+SEPTEMBER!T63+OKTOBER!T63+NOVEMBER!T63+DESEMBER!T63)</f>
        <v>0</v>
      </c>
      <c r="U63" s="16">
        <f>SUM(JANUARI!U63+FEBRUARI!U63+MARET!U63+APRIL!U63+MEI!U63+JUNI!U63+JULI!U63+AGUSTUS!U63+SEPTEMBER!U63+OKTOBER!U63+NOVEMBER!U63+DESEMBER!U63)</f>
        <v>0</v>
      </c>
    </row>
    <row r="64">
      <c r="A64" s="19"/>
      <c r="B64" s="20" t="s">
        <v>33</v>
      </c>
      <c r="C64" s="21" t="s">
        <v>43</v>
      </c>
      <c r="D64" s="23">
        <f>SUM(JANUARI!D64+FEBRUARI!D64+MARET!D64+APRIL!D64+MEI!D64+JUNI!D64+JULI!D64+AGUSTUS!D64+SEPTEMBER!D64+OKTOBER!D64+NOVEMBER!D64+DESEMBER!D64)</f>
        <v>0</v>
      </c>
      <c r="E64" s="23">
        <f>SUM(JANUARI!E64+FEBRUARI!E64+MARET!E64+APRIL!E64+MEI!E64+JUNI!E64+JULI!E64+AGUSTUS!E64+SEPTEMBER!E64+OKTOBER!E64+NOVEMBER!E64+DESEMBER!E64)</f>
        <v>0</v>
      </c>
      <c r="F64" s="16">
        <f>SUM(JANUARI!F64+FEBRUARI!F64+MARET!F64+APRIL!F64+MEI!F64+JUNI!F64+JULI!F64+AGUSTUS!F64+SEPTEMBER!F64+OKTOBER!F64+NOVEMBER!F64+DESEMBER!F64)</f>
        <v>0</v>
      </c>
      <c r="G64" s="23">
        <f>SUM(JANUARI!G64+FEBRUARI!G64+MARET!G64+APRIL!G64+MEI!G64+JUNI!G64+JULI!G64+AGUSTUS!G64+SEPTEMBER!G64+OKTOBER!G64+NOVEMBER!G64+DESEMBER!G64)</f>
        <v>0</v>
      </c>
      <c r="H64" s="23">
        <f>SUM(JANUARI!H64+FEBRUARI!H64+MARET!H64+APRIL!H64+MEI!H64+JUNI!H64+JULI!H64+AGUSTUS!H64+SEPTEMBER!H64+OKTOBER!H64+NOVEMBER!H64+DESEMBER!H64)</f>
        <v>0</v>
      </c>
      <c r="I64" s="16">
        <f>SUM(JANUARI!I64+FEBRUARI!I64+MARET!I64+APRIL!I64+MEI!I64+JUNI!I64+JULI!I64+AGUSTUS!I64+SEPTEMBER!I64+OKTOBER!I64+NOVEMBER!I64+DESEMBER!I64)</f>
        <v>0</v>
      </c>
      <c r="J64" s="23">
        <f>SUM(JANUARI!J64+FEBRUARI!J64+MARET!J64+APRIL!J64+MEI!J64+JUNI!J64+JULI!J64+AGUSTUS!J64+SEPTEMBER!J64+OKTOBER!J64+NOVEMBER!J64+DESEMBER!J64)</f>
        <v>0</v>
      </c>
      <c r="K64" s="23">
        <f>SUM(JANUARI!K64+FEBRUARI!K64+MARET!K64+APRIL!K64+MEI!K64+JUNI!K64+JULI!K64+AGUSTUS!K64+SEPTEMBER!K64+OKTOBER!K64+NOVEMBER!K64+DESEMBER!K64)</f>
        <v>0</v>
      </c>
      <c r="L64" s="16">
        <f>SUM(JANUARI!L64+FEBRUARI!L64+MARET!L64+APRIL!L64+MEI!L64+JUNI!L64+JULI!L64+AGUSTUS!L64+SEPTEMBER!L64+OKTOBER!L64+NOVEMBER!L64+DESEMBER!L64)</f>
        <v>0</v>
      </c>
      <c r="M64" s="23">
        <f>SUM(JANUARI!M64+FEBRUARI!M64+MARET!M64+APRIL!M64+MEI!M64+JUNI!M64+JULI!M64+AGUSTUS!M64+SEPTEMBER!M64+OKTOBER!M64+NOVEMBER!M64+DESEMBER!M64)</f>
        <v>116</v>
      </c>
      <c r="N64" s="23">
        <f>SUM(JANUARI!N64+FEBRUARI!N64+MARET!N64+APRIL!N64+MEI!N64+JUNI!N64+JULI!N64+AGUSTUS!N64+SEPTEMBER!N64+OKTOBER!N64+NOVEMBER!N64+DESEMBER!N64)</f>
        <v>188</v>
      </c>
      <c r="O64" s="16">
        <f>SUM(JANUARI!O64+FEBRUARI!O64+MARET!O64+APRIL!O64+MEI!O64+JUNI!O64+JULI!O64+AGUSTUS!O64+SEPTEMBER!O64+OKTOBER!O64+NOVEMBER!O64+DESEMBER!O64)</f>
        <v>304</v>
      </c>
      <c r="P64" s="23">
        <f>SUM(JANUARI!P64+FEBRUARI!P64+MARET!P64+APRIL!P64+MEI!P64+JUNI!P64+JULI!P64+AGUSTUS!P64+SEPTEMBER!P64+OKTOBER!P64+NOVEMBER!P64+DESEMBER!P64)</f>
        <v>15</v>
      </c>
      <c r="Q64" s="23">
        <f>SUM(JANUARI!Q64+FEBRUARI!Q64+MARET!Q64+APRIL!Q64+MEI!Q64+JUNI!Q64+JULI!Q64+AGUSTUS!Q64+SEPTEMBER!Q64+OKTOBER!Q64+NOVEMBER!Q64+DESEMBER!Q64)</f>
        <v>19</v>
      </c>
      <c r="R64" s="16">
        <f>SUM(JANUARI!R64+FEBRUARI!R64+MARET!R64+APRIL!R64+MEI!R64+JUNI!R64+JULI!R64+AGUSTUS!R64+SEPTEMBER!R64+OKTOBER!R64+NOVEMBER!R64+DESEMBER!R64)</f>
        <v>34</v>
      </c>
      <c r="S64" s="23">
        <f>SUM(JANUARI!S64+FEBRUARI!S64+MARET!S64+APRIL!S64+MEI!S64+JUNI!S64+JULI!S64+AGUSTUS!S64+SEPTEMBER!S64+OKTOBER!S64+NOVEMBER!S64+DESEMBER!S64)</f>
        <v>74</v>
      </c>
      <c r="T64" s="23">
        <f>SUM(JANUARI!T64+FEBRUARI!T64+MARET!T64+APRIL!T64+MEI!T64+JUNI!T64+JULI!T64+AGUSTUS!T64+SEPTEMBER!T64+OKTOBER!T64+NOVEMBER!T64+DESEMBER!T64)</f>
        <v>152</v>
      </c>
      <c r="U64" s="16">
        <f>SUM(JANUARI!U64+FEBRUARI!U64+MARET!U64+APRIL!U64+MEI!U64+JUNI!U64+JULI!U64+AGUSTUS!U64+SEPTEMBER!U64+OKTOBER!U64+NOVEMBER!U64+DESEMBER!U64)</f>
        <v>226</v>
      </c>
    </row>
    <row r="65">
      <c r="A65" s="19"/>
      <c r="B65" s="20" t="s">
        <v>44</v>
      </c>
      <c r="C65" s="21" t="s">
        <v>45</v>
      </c>
      <c r="D65" s="23">
        <f>SUM(JANUARI!D65+FEBRUARI!D65+MARET!D65+APRIL!D65+MEI!D65+JUNI!D65+JULI!D65+AGUSTUS!D65+SEPTEMBER!D65+OKTOBER!D65+NOVEMBER!D65+DESEMBER!D65)</f>
        <v>0</v>
      </c>
      <c r="E65" s="23">
        <f>SUM(JANUARI!E65+FEBRUARI!E65+MARET!E65+APRIL!E65+MEI!E65+JUNI!E65+JULI!E65+AGUSTUS!E65+SEPTEMBER!E65+OKTOBER!E65+NOVEMBER!E65+DESEMBER!E65)</f>
        <v>0</v>
      </c>
      <c r="F65" s="16">
        <f>SUM(JANUARI!F65+FEBRUARI!F65+MARET!F65+APRIL!F65+MEI!F65+JUNI!F65+JULI!F65+AGUSTUS!F65+SEPTEMBER!F65+OKTOBER!F65+NOVEMBER!F65+DESEMBER!F65)</f>
        <v>0</v>
      </c>
      <c r="G65" s="23">
        <f>SUM(JANUARI!G65+FEBRUARI!G65+MARET!G65+APRIL!G65+MEI!G65+JUNI!G65+JULI!G65+AGUSTUS!G65+SEPTEMBER!G65+OKTOBER!G65+NOVEMBER!G65+DESEMBER!G65)</f>
        <v>0</v>
      </c>
      <c r="H65" s="23">
        <f>SUM(JANUARI!H65+FEBRUARI!H65+MARET!H65+APRIL!H65+MEI!H65+JUNI!H65+JULI!H65+AGUSTUS!H65+SEPTEMBER!H65+OKTOBER!H65+NOVEMBER!H65+DESEMBER!H65)</f>
        <v>0</v>
      </c>
      <c r="I65" s="16">
        <f>SUM(JANUARI!I65+FEBRUARI!I65+MARET!I65+APRIL!I65+MEI!I65+JUNI!I65+JULI!I65+AGUSTUS!I65+SEPTEMBER!I65+OKTOBER!I65+NOVEMBER!I65+DESEMBER!I65)</f>
        <v>0</v>
      </c>
      <c r="J65" s="23">
        <f>SUM(JANUARI!J65+FEBRUARI!J65+MARET!J65+APRIL!J65+MEI!J65+JUNI!J65+JULI!J65+AGUSTUS!J65+SEPTEMBER!J65+OKTOBER!J65+NOVEMBER!J65+DESEMBER!J65)</f>
        <v>0</v>
      </c>
      <c r="K65" s="23">
        <f>SUM(JANUARI!K65+FEBRUARI!K65+MARET!K65+APRIL!K65+MEI!K65+JUNI!K65+JULI!K65+AGUSTUS!K65+SEPTEMBER!K65+OKTOBER!K65+NOVEMBER!K65+DESEMBER!K65)</f>
        <v>0</v>
      </c>
      <c r="L65" s="16">
        <f>SUM(JANUARI!L65+FEBRUARI!L65+MARET!L65+APRIL!L65+MEI!L65+JUNI!L65+JULI!L65+AGUSTUS!L65+SEPTEMBER!L65+OKTOBER!L65+NOVEMBER!L65+DESEMBER!L65)</f>
        <v>0</v>
      </c>
      <c r="M65" s="23">
        <f>SUM(JANUARI!M65+FEBRUARI!M65+MARET!M65+APRIL!M65+MEI!M65+JUNI!M65+JULI!M65+AGUSTUS!M65+SEPTEMBER!M65+OKTOBER!M65+NOVEMBER!M65+DESEMBER!M65)</f>
        <v>88</v>
      </c>
      <c r="N65" s="23">
        <f>SUM(JANUARI!N65+FEBRUARI!N65+MARET!N65+APRIL!N65+MEI!N65+JUNI!N65+JULI!N65+AGUSTUS!N65+SEPTEMBER!N65+OKTOBER!N65+NOVEMBER!N65+DESEMBER!N65)</f>
        <v>155</v>
      </c>
      <c r="O65" s="16">
        <f>SUM(JANUARI!O65+FEBRUARI!O65+MARET!O65+APRIL!O65+MEI!O65+JUNI!O65+JULI!O65+AGUSTUS!O65+SEPTEMBER!O65+OKTOBER!O65+NOVEMBER!O65+DESEMBER!O65)</f>
        <v>243</v>
      </c>
      <c r="P65" s="23">
        <f>SUM(JANUARI!P65+FEBRUARI!P65+MARET!P65+APRIL!P65+MEI!P65+JUNI!P65+JULI!P65+AGUSTUS!P65+SEPTEMBER!P65+OKTOBER!P65+NOVEMBER!P65+DESEMBER!P65)</f>
        <v>13</v>
      </c>
      <c r="Q65" s="23">
        <f>SUM(JANUARI!Q65+FEBRUARI!Q65+MARET!Q65+APRIL!Q65+MEI!Q65+JUNI!Q65+JULI!Q65+AGUSTUS!Q65+SEPTEMBER!Q65+OKTOBER!Q65+NOVEMBER!Q65+DESEMBER!Q65)</f>
        <v>65</v>
      </c>
      <c r="R65" s="16">
        <f>SUM(JANUARI!R65+FEBRUARI!R65+MARET!R65+APRIL!R65+MEI!R65+JUNI!R65+JULI!R65+AGUSTUS!R65+SEPTEMBER!R65+OKTOBER!R65+NOVEMBER!R65+DESEMBER!R65)</f>
        <v>78</v>
      </c>
      <c r="S65" s="23">
        <f>SUM(JANUARI!S65+FEBRUARI!S65+MARET!S65+APRIL!S65+MEI!S65+JUNI!S65+JULI!S65+AGUSTUS!S65+SEPTEMBER!S65+OKTOBER!S65+NOVEMBER!S65+DESEMBER!S65)</f>
        <v>93</v>
      </c>
      <c r="T65" s="23">
        <f>SUM(JANUARI!T65+FEBRUARI!T65+MARET!T65+APRIL!T65+MEI!T65+JUNI!T65+JULI!T65+AGUSTUS!T65+SEPTEMBER!T65+OKTOBER!T65+NOVEMBER!T65+DESEMBER!T65)</f>
        <v>209</v>
      </c>
      <c r="U65" s="16">
        <f>SUM(JANUARI!U65+FEBRUARI!U65+MARET!U65+APRIL!U65+MEI!U65+JUNI!U65+JULI!U65+AGUSTUS!U65+SEPTEMBER!U65+OKTOBER!U65+NOVEMBER!U65+DESEMBER!U65)</f>
        <v>302</v>
      </c>
    </row>
    <row r="66">
      <c r="A66" s="19"/>
      <c r="B66" s="20" t="s">
        <v>46</v>
      </c>
      <c r="C66" s="21" t="s">
        <v>47</v>
      </c>
      <c r="D66" s="23">
        <f>SUM(JANUARI!D66+FEBRUARI!D66+MARET!D66+APRIL!D66+MEI!D66+JUNI!D66+JULI!D66+AGUSTUS!D66+SEPTEMBER!D66+OKTOBER!D66+NOVEMBER!D66+DESEMBER!D66)</f>
        <v>0</v>
      </c>
      <c r="E66" s="23">
        <f>SUM(JANUARI!E66+FEBRUARI!E66+MARET!E66+APRIL!E66+MEI!E66+JUNI!E66+JULI!E66+AGUSTUS!E66+SEPTEMBER!E66+OKTOBER!E66+NOVEMBER!E66+DESEMBER!E66)</f>
        <v>0</v>
      </c>
      <c r="F66" s="16">
        <f>SUM(JANUARI!F66+FEBRUARI!F66+MARET!F66+APRIL!F66+MEI!F66+JUNI!F66+JULI!F66+AGUSTUS!F66+SEPTEMBER!F66+OKTOBER!F66+NOVEMBER!F66+DESEMBER!F66)</f>
        <v>0</v>
      </c>
      <c r="G66" s="23">
        <f>SUM(JANUARI!G66+FEBRUARI!G66+MARET!G66+APRIL!G66+MEI!G66+JUNI!G66+JULI!G66+AGUSTUS!G66+SEPTEMBER!G66+OKTOBER!G66+NOVEMBER!G66+DESEMBER!G66)</f>
        <v>0</v>
      </c>
      <c r="H66" s="23">
        <f>SUM(JANUARI!H66+FEBRUARI!H66+MARET!H66+APRIL!H66+MEI!H66+JUNI!H66+JULI!H66+AGUSTUS!H66+SEPTEMBER!H66+OKTOBER!H66+NOVEMBER!H66+DESEMBER!H66)</f>
        <v>0</v>
      </c>
      <c r="I66" s="16">
        <f>SUM(JANUARI!I66+FEBRUARI!I66+MARET!I66+APRIL!I66+MEI!I66+JUNI!I66+JULI!I66+AGUSTUS!I66+SEPTEMBER!I66+OKTOBER!I66+NOVEMBER!I66+DESEMBER!I66)</f>
        <v>0</v>
      </c>
      <c r="J66" s="23">
        <f>SUM(JANUARI!J66+FEBRUARI!J66+MARET!J66+APRIL!J66+MEI!J66+JUNI!J66+JULI!J66+AGUSTUS!J66+SEPTEMBER!J66+OKTOBER!J66+NOVEMBER!J66+DESEMBER!J66)</f>
        <v>0</v>
      </c>
      <c r="K66" s="23">
        <f>SUM(JANUARI!K66+FEBRUARI!K66+MARET!K66+APRIL!K66+MEI!K66+JUNI!K66+JULI!K66+AGUSTUS!K66+SEPTEMBER!K66+OKTOBER!K66+NOVEMBER!K66+DESEMBER!K66)</f>
        <v>0</v>
      </c>
      <c r="L66" s="16">
        <f>SUM(JANUARI!L66+FEBRUARI!L66+MARET!L66+APRIL!L66+MEI!L66+JUNI!L66+JULI!L66+AGUSTUS!L66+SEPTEMBER!L66+OKTOBER!L66+NOVEMBER!L66+DESEMBER!L66)</f>
        <v>0</v>
      </c>
      <c r="M66" s="23">
        <f>SUM(JANUARI!M66+FEBRUARI!M66+MARET!M66+APRIL!M66+MEI!M66+JUNI!M66+JULI!M66+AGUSTUS!M66+SEPTEMBER!M66+OKTOBER!M66+NOVEMBER!M66+DESEMBER!M66)</f>
        <v>39</v>
      </c>
      <c r="N66" s="23">
        <f>SUM(JANUARI!N66+FEBRUARI!N66+MARET!N66+APRIL!N66+MEI!N66+JUNI!N66+JULI!N66+AGUSTUS!N66+SEPTEMBER!N66+OKTOBER!N66+NOVEMBER!N66+DESEMBER!N66)</f>
        <v>64</v>
      </c>
      <c r="O66" s="16">
        <f>SUM(JANUARI!O66+FEBRUARI!O66+MARET!O66+APRIL!O66+MEI!O66+JUNI!O66+JULI!O66+AGUSTUS!O66+SEPTEMBER!O66+OKTOBER!O66+NOVEMBER!O66+DESEMBER!O66)</f>
        <v>103</v>
      </c>
      <c r="P66" s="23">
        <f>SUM(JANUARI!P66+FEBRUARI!P66+MARET!P66+APRIL!P66+MEI!P66+JUNI!P66+JULI!P66+AGUSTUS!P66+SEPTEMBER!P66+OKTOBER!P66+NOVEMBER!P66+DESEMBER!P66)</f>
        <v>3</v>
      </c>
      <c r="Q66" s="23">
        <f>SUM(JANUARI!Q66+FEBRUARI!Q66+MARET!Q66+APRIL!Q66+MEI!Q66+JUNI!Q66+JULI!Q66+AGUSTUS!Q66+SEPTEMBER!Q66+OKTOBER!Q66+NOVEMBER!Q66+DESEMBER!Q66)</f>
        <v>14</v>
      </c>
      <c r="R66" s="16">
        <f>SUM(JANUARI!R66+FEBRUARI!R66+MARET!R66+APRIL!R66+MEI!R66+JUNI!R66+JULI!R66+AGUSTUS!R66+SEPTEMBER!R66+OKTOBER!R66+NOVEMBER!R66+DESEMBER!R66)</f>
        <v>17</v>
      </c>
      <c r="S66" s="23">
        <f>SUM(JANUARI!S66+FEBRUARI!S66+MARET!S66+APRIL!S66+MEI!S66+JUNI!S66+JULI!S66+AGUSTUS!S66+SEPTEMBER!S66+OKTOBER!S66+NOVEMBER!S66+DESEMBER!S66)</f>
        <v>16</v>
      </c>
      <c r="T66" s="23">
        <f>SUM(JANUARI!T66+FEBRUARI!T66+MARET!T66+APRIL!T66+MEI!T66+JUNI!T66+JULI!T66+AGUSTUS!T66+SEPTEMBER!T66+OKTOBER!T66+NOVEMBER!T66+DESEMBER!T66)</f>
        <v>32</v>
      </c>
      <c r="U66" s="16">
        <f>SUM(JANUARI!U66+FEBRUARI!U66+MARET!U66+APRIL!U66+MEI!U66+JUNI!U66+JULI!U66+AGUSTUS!U66+SEPTEMBER!U66+OKTOBER!U66+NOVEMBER!U66+DESEMBER!U66)</f>
        <v>48</v>
      </c>
    </row>
    <row r="67">
      <c r="A67" s="19"/>
      <c r="B67" s="20" t="s">
        <v>48</v>
      </c>
      <c r="C67" s="21" t="s">
        <v>49</v>
      </c>
      <c r="D67" s="23">
        <f>SUM(JANUARI!D67+FEBRUARI!D67+MARET!D67+APRIL!D67+MEI!D67+JUNI!D67+JULI!D67+AGUSTUS!D67+SEPTEMBER!D67+OKTOBER!D67+NOVEMBER!D67+DESEMBER!D67)</f>
        <v>0</v>
      </c>
      <c r="E67" s="23">
        <f>SUM(JANUARI!E67+FEBRUARI!E67+MARET!E67+APRIL!E67+MEI!E67+JUNI!E67+JULI!E67+AGUSTUS!E67+SEPTEMBER!E67+OKTOBER!E67+NOVEMBER!E67+DESEMBER!E67)</f>
        <v>0</v>
      </c>
      <c r="F67" s="16">
        <f>SUM(JANUARI!F67+FEBRUARI!F67+MARET!F67+APRIL!F67+MEI!F67+JUNI!F67+JULI!F67+AGUSTUS!F67+SEPTEMBER!F67+OKTOBER!F67+NOVEMBER!F67+DESEMBER!F67)</f>
        <v>0</v>
      </c>
      <c r="G67" s="23">
        <f>SUM(JANUARI!G67+FEBRUARI!G67+MARET!G67+APRIL!G67+MEI!G67+JUNI!G67+JULI!G67+AGUSTUS!G67+SEPTEMBER!G67+OKTOBER!G67+NOVEMBER!G67+DESEMBER!G67)</f>
        <v>0</v>
      </c>
      <c r="H67" s="23">
        <f>SUM(JANUARI!H67+FEBRUARI!H67+MARET!H67+APRIL!H67+MEI!H67+JUNI!H67+JULI!H67+AGUSTUS!H67+SEPTEMBER!H67+OKTOBER!H67+NOVEMBER!H67+DESEMBER!H67)</f>
        <v>0</v>
      </c>
      <c r="I67" s="16">
        <f>SUM(JANUARI!I67+FEBRUARI!I67+MARET!I67+APRIL!I67+MEI!I67+JUNI!I67+JULI!I67+AGUSTUS!I67+SEPTEMBER!I67+OKTOBER!I67+NOVEMBER!I67+DESEMBER!I67)</f>
        <v>0</v>
      </c>
      <c r="J67" s="23">
        <f>SUM(JANUARI!J67+FEBRUARI!J67+MARET!J67+APRIL!J67+MEI!J67+JUNI!J67+JULI!J67+AGUSTUS!J67+SEPTEMBER!J67+OKTOBER!J67+NOVEMBER!J67+DESEMBER!J67)</f>
        <v>0</v>
      </c>
      <c r="K67" s="23">
        <f>SUM(JANUARI!K67+FEBRUARI!K67+MARET!K67+APRIL!K67+MEI!K67+JUNI!K67+JULI!K67+AGUSTUS!K67+SEPTEMBER!K67+OKTOBER!K67+NOVEMBER!K67+DESEMBER!K67)</f>
        <v>0</v>
      </c>
      <c r="L67" s="16">
        <f>SUM(JANUARI!L67+FEBRUARI!L67+MARET!L67+APRIL!L67+MEI!L67+JUNI!L67+JULI!L67+AGUSTUS!L67+SEPTEMBER!L67+OKTOBER!L67+NOVEMBER!L67+DESEMBER!L67)</f>
        <v>0</v>
      </c>
      <c r="M67" s="23">
        <f>SUM(JANUARI!M67+FEBRUARI!M67+MARET!M67+APRIL!M67+MEI!M67+JUNI!M67+JULI!M67+AGUSTUS!M67+SEPTEMBER!M67+OKTOBER!M67+NOVEMBER!M67+DESEMBER!M67)</f>
        <v>0</v>
      </c>
      <c r="N67" s="23">
        <f>SUM(JANUARI!N67+FEBRUARI!N67+MARET!N67+APRIL!N67+MEI!N67+JUNI!N67+JULI!N67+AGUSTUS!N67+SEPTEMBER!N67+OKTOBER!N67+NOVEMBER!N67+DESEMBER!N67)</f>
        <v>0</v>
      </c>
      <c r="O67" s="16">
        <f>SUM(JANUARI!O67+FEBRUARI!O67+MARET!O67+APRIL!O67+MEI!O67+JUNI!O67+JULI!O67+AGUSTUS!O67+SEPTEMBER!O67+OKTOBER!O67+NOVEMBER!O67+DESEMBER!O67)</f>
        <v>0</v>
      </c>
      <c r="P67" s="23">
        <f>SUM(JANUARI!P67+FEBRUARI!P67+MARET!P67+APRIL!P67+MEI!P67+JUNI!P67+JULI!P67+AGUSTUS!P67+SEPTEMBER!P67+OKTOBER!P67+NOVEMBER!P67+DESEMBER!P67)</f>
        <v>10</v>
      </c>
      <c r="Q67" s="23">
        <f>SUM(JANUARI!Q67+FEBRUARI!Q67+MARET!Q67+APRIL!Q67+MEI!Q67+JUNI!Q67+JULI!Q67+AGUSTUS!Q67+SEPTEMBER!Q67+OKTOBER!Q67+NOVEMBER!Q67+DESEMBER!Q67)</f>
        <v>9</v>
      </c>
      <c r="R67" s="16">
        <f>SUM(JANUARI!R67+FEBRUARI!R67+MARET!R67+APRIL!R67+MEI!R67+JUNI!R67+JULI!R67+AGUSTUS!R67+SEPTEMBER!R67+OKTOBER!R67+NOVEMBER!R67+DESEMBER!R67)</f>
        <v>19</v>
      </c>
      <c r="S67" s="23">
        <f>SUM(JANUARI!S67+FEBRUARI!S67+MARET!S67+APRIL!S67+MEI!S67+JUNI!S67+JULI!S67+AGUSTUS!S67+SEPTEMBER!S67+OKTOBER!S67+NOVEMBER!S67+DESEMBER!S67)</f>
        <v>0</v>
      </c>
      <c r="T67" s="23">
        <f>SUM(JANUARI!T67+FEBRUARI!T67+MARET!T67+APRIL!T67+MEI!T67+JUNI!T67+JULI!T67+AGUSTUS!T67+SEPTEMBER!T67+OKTOBER!T67+NOVEMBER!T67+DESEMBER!T67)</f>
        <v>0</v>
      </c>
      <c r="U67" s="16">
        <f>SUM(JANUARI!U67+FEBRUARI!U67+MARET!U67+APRIL!U67+MEI!U67+JUNI!U67+JULI!U67+AGUSTUS!U67+SEPTEMBER!U67+OKTOBER!U67+NOVEMBER!U67+DESEMBER!U67)</f>
        <v>0</v>
      </c>
    </row>
    <row r="68">
      <c r="A68" s="19"/>
      <c r="B68" s="20" t="s">
        <v>50</v>
      </c>
      <c r="C68" s="21" t="s">
        <v>51</v>
      </c>
      <c r="D68" s="23">
        <f>SUM(JANUARI!D68+FEBRUARI!D68+MARET!D68+APRIL!D68+MEI!D68+JUNI!D68+JULI!D68+AGUSTUS!D68+SEPTEMBER!D68+OKTOBER!D68+NOVEMBER!D68+DESEMBER!D68)</f>
        <v>0</v>
      </c>
      <c r="E68" s="23">
        <f>SUM(JANUARI!E68+FEBRUARI!E68+MARET!E68+APRIL!E68+MEI!E68+JUNI!E68+JULI!E68+AGUSTUS!E68+SEPTEMBER!E68+OKTOBER!E68+NOVEMBER!E68+DESEMBER!E68)</f>
        <v>0</v>
      </c>
      <c r="F68" s="16">
        <f>SUM(JANUARI!F68+FEBRUARI!F68+MARET!F68+APRIL!F68+MEI!F68+JUNI!F68+JULI!F68+AGUSTUS!F68+SEPTEMBER!F68+OKTOBER!F68+NOVEMBER!F68+DESEMBER!F68)</f>
        <v>0</v>
      </c>
      <c r="G68" s="23">
        <f>SUM(JANUARI!G68+FEBRUARI!G68+MARET!G68+APRIL!G68+MEI!G68+JUNI!G68+JULI!G68+AGUSTUS!G68+SEPTEMBER!G68+OKTOBER!G68+NOVEMBER!G68+DESEMBER!G68)</f>
        <v>0</v>
      </c>
      <c r="H68" s="23">
        <f>SUM(JANUARI!H68+FEBRUARI!H68+MARET!H68+APRIL!H68+MEI!H68+JUNI!H68+JULI!H68+AGUSTUS!H68+SEPTEMBER!H68+OKTOBER!H68+NOVEMBER!H68+DESEMBER!H68)</f>
        <v>0</v>
      </c>
      <c r="I68" s="16">
        <f>SUM(JANUARI!I68+FEBRUARI!I68+MARET!I68+APRIL!I68+MEI!I68+JUNI!I68+JULI!I68+AGUSTUS!I68+SEPTEMBER!I68+OKTOBER!I68+NOVEMBER!I68+DESEMBER!I68)</f>
        <v>0</v>
      </c>
      <c r="J68" s="23">
        <f>SUM(JANUARI!J68+FEBRUARI!J68+MARET!J68+APRIL!J68+MEI!J68+JUNI!J68+JULI!J68+AGUSTUS!J68+SEPTEMBER!J68+OKTOBER!J68+NOVEMBER!J68+DESEMBER!J68)</f>
        <v>0</v>
      </c>
      <c r="K68" s="23">
        <f>SUM(JANUARI!K68+FEBRUARI!K68+MARET!K68+APRIL!K68+MEI!K68+JUNI!K68+JULI!K68+AGUSTUS!K68+SEPTEMBER!K68+OKTOBER!K68+NOVEMBER!K68+DESEMBER!K68)</f>
        <v>0</v>
      </c>
      <c r="L68" s="16">
        <f>SUM(JANUARI!L68+FEBRUARI!L68+MARET!L68+APRIL!L68+MEI!L68+JUNI!L68+JULI!L68+AGUSTUS!L68+SEPTEMBER!L68+OKTOBER!L68+NOVEMBER!L68+DESEMBER!L68)</f>
        <v>0</v>
      </c>
      <c r="M68" s="23">
        <f>SUM(JANUARI!M68+FEBRUARI!M68+MARET!M68+APRIL!M68+MEI!M68+JUNI!M68+JULI!M68+AGUSTUS!M68+SEPTEMBER!M68+OKTOBER!M68+NOVEMBER!M68+DESEMBER!M68)</f>
        <v>92</v>
      </c>
      <c r="N68" s="23">
        <f>SUM(JANUARI!N68+FEBRUARI!N68+MARET!N68+APRIL!N68+MEI!N68+JUNI!N68+JULI!N68+AGUSTUS!N68+SEPTEMBER!N68+OKTOBER!N68+NOVEMBER!N68+DESEMBER!N68)</f>
        <v>143</v>
      </c>
      <c r="O68" s="16">
        <f>SUM(JANUARI!O68+FEBRUARI!O68+MARET!O68+APRIL!O68+MEI!O68+JUNI!O68+JULI!O68+AGUSTUS!O68+SEPTEMBER!O68+OKTOBER!O68+NOVEMBER!O68+DESEMBER!O68)</f>
        <v>235</v>
      </c>
      <c r="P68" s="23">
        <f>SUM(JANUARI!P68+FEBRUARI!P68+MARET!P68+APRIL!P68+MEI!P68+JUNI!P68+JULI!P68+AGUSTUS!P68+SEPTEMBER!P68+OKTOBER!P68+NOVEMBER!P68+DESEMBER!P68)</f>
        <v>14</v>
      </c>
      <c r="Q68" s="23">
        <f>SUM(JANUARI!Q68+FEBRUARI!Q68+MARET!Q68+APRIL!Q68+MEI!Q68+JUNI!Q68+JULI!Q68+AGUSTUS!Q68+SEPTEMBER!Q68+OKTOBER!Q68+NOVEMBER!Q68+DESEMBER!Q68)</f>
        <v>23</v>
      </c>
      <c r="R68" s="16">
        <f>SUM(JANUARI!R68+FEBRUARI!R68+MARET!R68+APRIL!R68+MEI!R68+JUNI!R68+JULI!R68+AGUSTUS!R68+SEPTEMBER!R68+OKTOBER!R68+NOVEMBER!R68+DESEMBER!R68)</f>
        <v>37</v>
      </c>
      <c r="S68" s="23">
        <f>SUM(JANUARI!S68+FEBRUARI!S68+MARET!S68+APRIL!S68+MEI!S68+JUNI!S68+JULI!S68+AGUSTUS!S68+SEPTEMBER!S68+OKTOBER!S68+NOVEMBER!S68+DESEMBER!S68)</f>
        <v>69</v>
      </c>
      <c r="T68" s="23">
        <f>SUM(JANUARI!T68+FEBRUARI!T68+MARET!T68+APRIL!T68+MEI!T68+JUNI!T68+JULI!T68+AGUSTUS!T68+SEPTEMBER!T68+OKTOBER!T68+NOVEMBER!T68+DESEMBER!T68)</f>
        <v>162</v>
      </c>
      <c r="U68" s="16">
        <f>SUM(JANUARI!U68+FEBRUARI!U68+MARET!U68+APRIL!U68+MEI!U68+JUNI!U68+JULI!U68+AGUSTUS!U68+SEPTEMBER!U68+OKTOBER!U68+NOVEMBER!U68+DESEMBER!U68)</f>
        <v>231</v>
      </c>
    </row>
    <row r="69">
      <c r="A69" s="19"/>
      <c r="B69" s="20" t="s">
        <v>52</v>
      </c>
      <c r="C69" s="21" t="s">
        <v>53</v>
      </c>
      <c r="D69" s="23">
        <f>SUM(JANUARI!D69+FEBRUARI!D69+MARET!D69+APRIL!D69+MEI!D69+JUNI!D69+JULI!D69+AGUSTUS!D69+SEPTEMBER!D69+OKTOBER!D69+NOVEMBER!D69+DESEMBER!D69)</f>
        <v>0</v>
      </c>
      <c r="E69" s="23">
        <f>SUM(JANUARI!E69+FEBRUARI!E69+MARET!E69+APRIL!E69+MEI!E69+JUNI!E69+JULI!E69+AGUSTUS!E69+SEPTEMBER!E69+OKTOBER!E69+NOVEMBER!E69+DESEMBER!E69)</f>
        <v>0</v>
      </c>
      <c r="F69" s="16">
        <f>SUM(JANUARI!F69+FEBRUARI!F69+MARET!F69+APRIL!F69+MEI!F69+JUNI!F69+JULI!F69+AGUSTUS!F69+SEPTEMBER!F69+OKTOBER!F69+NOVEMBER!F69+DESEMBER!F69)</f>
        <v>0</v>
      </c>
      <c r="G69" s="23">
        <f>SUM(JANUARI!G69+FEBRUARI!G69+MARET!G69+APRIL!G69+MEI!G69+JUNI!G69+JULI!G69+AGUSTUS!G69+SEPTEMBER!G69+OKTOBER!G69+NOVEMBER!G69+DESEMBER!G69)</f>
        <v>0</v>
      </c>
      <c r="H69" s="23">
        <f>SUM(JANUARI!H69+FEBRUARI!H69+MARET!H69+APRIL!H69+MEI!H69+JUNI!H69+JULI!H69+AGUSTUS!H69+SEPTEMBER!H69+OKTOBER!H69+NOVEMBER!H69+DESEMBER!H69)</f>
        <v>0</v>
      </c>
      <c r="I69" s="16">
        <f>SUM(JANUARI!I69+FEBRUARI!I69+MARET!I69+APRIL!I69+MEI!I69+JUNI!I69+JULI!I69+AGUSTUS!I69+SEPTEMBER!I69+OKTOBER!I69+NOVEMBER!I69+DESEMBER!I69)</f>
        <v>0</v>
      </c>
      <c r="J69" s="23">
        <f>SUM(JANUARI!J69+FEBRUARI!J69+MARET!J69+APRIL!J69+MEI!J69+JUNI!J69+JULI!J69+AGUSTUS!J69+SEPTEMBER!J69+OKTOBER!J69+NOVEMBER!J69+DESEMBER!J69)</f>
        <v>0</v>
      </c>
      <c r="K69" s="23">
        <f>SUM(JANUARI!K69+FEBRUARI!K69+MARET!K69+APRIL!K69+MEI!K69+JUNI!K69+JULI!K69+AGUSTUS!K69+SEPTEMBER!K69+OKTOBER!K69+NOVEMBER!K69+DESEMBER!K69)</f>
        <v>0</v>
      </c>
      <c r="L69" s="16">
        <f>SUM(JANUARI!L69+FEBRUARI!L69+MARET!L69+APRIL!L69+MEI!L69+JUNI!L69+JULI!L69+AGUSTUS!L69+SEPTEMBER!L69+OKTOBER!L69+NOVEMBER!L69+DESEMBER!L69)</f>
        <v>0</v>
      </c>
      <c r="M69" s="23">
        <f>SUM(JANUARI!M69+FEBRUARI!M69+MARET!M69+APRIL!M69+MEI!M69+JUNI!M69+JULI!M69+AGUSTUS!M69+SEPTEMBER!M69+OKTOBER!M69+NOVEMBER!M69+DESEMBER!M69)</f>
        <v>0</v>
      </c>
      <c r="N69" s="23">
        <f>SUM(JANUARI!N69+FEBRUARI!N69+MARET!N69+APRIL!N69+MEI!N69+JUNI!N69+JULI!N69+AGUSTUS!N69+SEPTEMBER!N69+OKTOBER!N69+NOVEMBER!N69+DESEMBER!N69)</f>
        <v>24</v>
      </c>
      <c r="O69" s="16">
        <f>SUM(JANUARI!O69+FEBRUARI!O69+MARET!O69+APRIL!O69+MEI!O69+JUNI!O69+JULI!O69+AGUSTUS!O69+SEPTEMBER!O69+OKTOBER!O69+NOVEMBER!O69+DESEMBER!O69)</f>
        <v>24</v>
      </c>
      <c r="P69" s="23">
        <f>SUM(JANUARI!P69+FEBRUARI!P69+MARET!P69+APRIL!P69+MEI!P69+JUNI!P69+JULI!P69+AGUSTUS!P69+SEPTEMBER!P69+OKTOBER!P69+NOVEMBER!P69+DESEMBER!P69)</f>
        <v>0</v>
      </c>
      <c r="Q69" s="23">
        <f>SUM(JANUARI!Q69+FEBRUARI!Q69+MARET!Q69+APRIL!Q69+MEI!Q69+JUNI!Q69+JULI!Q69+AGUSTUS!Q69+SEPTEMBER!Q69+OKTOBER!Q69+NOVEMBER!Q69+DESEMBER!Q69)</f>
        <v>12</v>
      </c>
      <c r="R69" s="16">
        <f>SUM(JANUARI!R69+FEBRUARI!R69+MARET!R69+APRIL!R69+MEI!R69+JUNI!R69+JULI!R69+AGUSTUS!R69+SEPTEMBER!R69+OKTOBER!R69+NOVEMBER!R69+DESEMBER!R69)</f>
        <v>12</v>
      </c>
      <c r="S69" s="23">
        <f>SUM(JANUARI!S69+FEBRUARI!S69+MARET!S69+APRIL!S69+MEI!S69+JUNI!S69+JULI!S69+AGUSTUS!S69+SEPTEMBER!S69+OKTOBER!S69+NOVEMBER!S69+DESEMBER!S69)</f>
        <v>0</v>
      </c>
      <c r="T69" s="23">
        <f>SUM(JANUARI!T69+FEBRUARI!T69+MARET!T69+APRIL!T69+MEI!T69+JUNI!T69+JULI!T69+AGUSTUS!T69+SEPTEMBER!T69+OKTOBER!T69+NOVEMBER!T69+DESEMBER!T69)</f>
        <v>33</v>
      </c>
      <c r="U69" s="16">
        <f>SUM(JANUARI!U69+FEBRUARI!U69+MARET!U69+APRIL!U69+MEI!U69+JUNI!U69+JULI!U69+AGUSTUS!U69+SEPTEMBER!U69+OKTOBER!U69+NOVEMBER!U69+DESEMBER!U69)</f>
        <v>33</v>
      </c>
    </row>
    <row r="70">
      <c r="A70" s="19"/>
      <c r="B70" s="20" t="s">
        <v>54</v>
      </c>
      <c r="C70" s="21" t="s">
        <v>55</v>
      </c>
      <c r="D70" s="23">
        <f>SUM(JANUARI!D70+FEBRUARI!D70+MARET!D70+APRIL!D70+MEI!D70+JUNI!D70+JULI!D70+AGUSTUS!D70+SEPTEMBER!D70+OKTOBER!D70+NOVEMBER!D70+DESEMBER!D70)</f>
        <v>0</v>
      </c>
      <c r="E70" s="23">
        <f>SUM(JANUARI!E70+FEBRUARI!E70+MARET!E70+APRIL!E70+MEI!E70+JUNI!E70+JULI!E70+AGUSTUS!E70+SEPTEMBER!E70+OKTOBER!E70+NOVEMBER!E70+DESEMBER!E70)</f>
        <v>0</v>
      </c>
      <c r="F70" s="16">
        <f>SUM(JANUARI!F70+FEBRUARI!F70+MARET!F70+APRIL!F70+MEI!F70+JUNI!F70+JULI!F70+AGUSTUS!F70+SEPTEMBER!F70+OKTOBER!F70+NOVEMBER!F70+DESEMBER!F70)</f>
        <v>0</v>
      </c>
      <c r="G70" s="23">
        <f>SUM(JANUARI!G70+FEBRUARI!G70+MARET!G70+APRIL!G70+MEI!G70+JUNI!G70+JULI!G70+AGUSTUS!G70+SEPTEMBER!G70+OKTOBER!G70+NOVEMBER!G70+DESEMBER!G70)</f>
        <v>0</v>
      </c>
      <c r="H70" s="23">
        <f>SUM(JANUARI!H70+FEBRUARI!H70+MARET!H70+APRIL!H70+MEI!H70+JUNI!H70+JULI!H70+AGUSTUS!H70+SEPTEMBER!H70+OKTOBER!H70+NOVEMBER!H70+DESEMBER!H70)</f>
        <v>0</v>
      </c>
      <c r="I70" s="16">
        <f>SUM(JANUARI!I70+FEBRUARI!I70+MARET!I70+APRIL!I70+MEI!I70+JUNI!I70+JULI!I70+AGUSTUS!I70+SEPTEMBER!I70+OKTOBER!I70+NOVEMBER!I70+DESEMBER!I70)</f>
        <v>0</v>
      </c>
      <c r="J70" s="23">
        <f>SUM(JANUARI!J70+FEBRUARI!J70+MARET!J70+APRIL!J70+MEI!J70+JUNI!J70+JULI!J70+AGUSTUS!J70+SEPTEMBER!J70+OKTOBER!J70+NOVEMBER!J70+DESEMBER!J70)</f>
        <v>0</v>
      </c>
      <c r="K70" s="23">
        <f>SUM(JANUARI!K70+FEBRUARI!K70+MARET!K70+APRIL!K70+MEI!K70+JUNI!K70+JULI!K70+AGUSTUS!K70+SEPTEMBER!K70+OKTOBER!K70+NOVEMBER!K70+DESEMBER!K70)</f>
        <v>0</v>
      </c>
      <c r="L70" s="16">
        <f>SUM(JANUARI!L70+FEBRUARI!L70+MARET!L70+APRIL!L70+MEI!L70+JUNI!L70+JULI!L70+AGUSTUS!L70+SEPTEMBER!L70+OKTOBER!L70+NOVEMBER!L70+DESEMBER!L70)</f>
        <v>0</v>
      </c>
      <c r="M70" s="23">
        <f>SUM(JANUARI!M70+FEBRUARI!M70+MARET!M70+APRIL!M70+MEI!M70+JUNI!M70+JULI!M70+AGUSTUS!M70+SEPTEMBER!M70+OKTOBER!M70+NOVEMBER!M70+DESEMBER!M70)</f>
        <v>2</v>
      </c>
      <c r="N70" s="23">
        <f>SUM(JANUARI!N70+FEBRUARI!N70+MARET!N70+APRIL!N70+MEI!N70+JUNI!N70+JULI!N70+AGUSTUS!N70+SEPTEMBER!N70+OKTOBER!N70+NOVEMBER!N70+DESEMBER!N70)</f>
        <v>53</v>
      </c>
      <c r="O70" s="16">
        <f>SUM(JANUARI!O70+FEBRUARI!O70+MARET!O70+APRIL!O70+MEI!O70+JUNI!O70+JULI!O70+AGUSTUS!O70+SEPTEMBER!O70+OKTOBER!O70+NOVEMBER!O70+DESEMBER!O70)</f>
        <v>55</v>
      </c>
      <c r="P70" s="23">
        <f>SUM(JANUARI!P70+FEBRUARI!P70+MARET!P70+APRIL!P70+MEI!P70+JUNI!P70+JULI!P70+AGUSTUS!P70+SEPTEMBER!P70+OKTOBER!P70+NOVEMBER!P70+DESEMBER!P70)</f>
        <v>2</v>
      </c>
      <c r="Q70" s="23">
        <f>SUM(JANUARI!Q70+FEBRUARI!Q70+MARET!Q70+APRIL!Q70+MEI!Q70+JUNI!Q70+JULI!Q70+AGUSTUS!Q70+SEPTEMBER!Q70+OKTOBER!Q70+NOVEMBER!Q70+DESEMBER!Q70)</f>
        <v>42</v>
      </c>
      <c r="R70" s="16">
        <f>SUM(JANUARI!R70+FEBRUARI!R70+MARET!R70+APRIL!R70+MEI!R70+JUNI!R70+JULI!R70+AGUSTUS!R70+SEPTEMBER!R70+OKTOBER!R70+NOVEMBER!R70+DESEMBER!R70)</f>
        <v>44</v>
      </c>
      <c r="S70" s="23">
        <f>SUM(JANUARI!S70+FEBRUARI!S70+MARET!S70+APRIL!S70+MEI!S70+JUNI!S70+JULI!S70+AGUSTUS!S70+SEPTEMBER!S70+OKTOBER!S70+NOVEMBER!S70+DESEMBER!S70)</f>
        <v>6</v>
      </c>
      <c r="T70" s="23">
        <f>SUM(JANUARI!T70+FEBRUARI!T70+MARET!T70+APRIL!T70+MEI!T70+JUNI!T70+JULI!T70+AGUSTUS!T70+SEPTEMBER!T70+OKTOBER!T70+NOVEMBER!T70+DESEMBER!T70)</f>
        <v>52</v>
      </c>
      <c r="U70" s="16">
        <f>SUM(JANUARI!U70+FEBRUARI!U70+MARET!U70+APRIL!U70+MEI!U70+JUNI!U70+JULI!U70+AGUSTUS!U70+SEPTEMBER!U70+OKTOBER!U70+NOVEMBER!U70+DESEMBER!U70)</f>
        <v>58</v>
      </c>
    </row>
    <row r="71">
      <c r="A71" s="19"/>
      <c r="B71" s="20" t="s">
        <v>56</v>
      </c>
      <c r="C71" s="21" t="s">
        <v>57</v>
      </c>
      <c r="D71" s="23">
        <f>SUM(JANUARI!D71+FEBRUARI!D71+MARET!D71+APRIL!D71+MEI!D71+JUNI!D71+JULI!D71+AGUSTUS!D71+SEPTEMBER!D71+OKTOBER!D71+NOVEMBER!D71+DESEMBER!D71)</f>
        <v>0</v>
      </c>
      <c r="E71" s="23">
        <f>SUM(JANUARI!E71+FEBRUARI!E71+MARET!E71+APRIL!E71+MEI!E71+JUNI!E71+JULI!E71+AGUSTUS!E71+SEPTEMBER!E71+OKTOBER!E71+NOVEMBER!E71+DESEMBER!E71)</f>
        <v>0</v>
      </c>
      <c r="F71" s="16">
        <f>SUM(JANUARI!F71+FEBRUARI!F71+MARET!F71+APRIL!F71+MEI!F71+JUNI!F71+JULI!F71+AGUSTUS!F71+SEPTEMBER!F71+OKTOBER!F71+NOVEMBER!F71+DESEMBER!F71)</f>
        <v>0</v>
      </c>
      <c r="G71" s="23">
        <f>SUM(JANUARI!G71+FEBRUARI!G71+MARET!G71+APRIL!G71+MEI!G71+JUNI!G71+JULI!G71+AGUSTUS!G71+SEPTEMBER!G71+OKTOBER!G71+NOVEMBER!G71+DESEMBER!G71)</f>
        <v>0</v>
      </c>
      <c r="H71" s="23">
        <f>SUM(JANUARI!H71+FEBRUARI!H71+MARET!H71+APRIL!H71+MEI!H71+JUNI!H71+JULI!H71+AGUSTUS!H71+SEPTEMBER!H71+OKTOBER!H71+NOVEMBER!H71+DESEMBER!H71)</f>
        <v>0</v>
      </c>
      <c r="I71" s="16">
        <f>SUM(JANUARI!I71+FEBRUARI!I71+MARET!I71+APRIL!I71+MEI!I71+JUNI!I71+JULI!I71+AGUSTUS!I71+SEPTEMBER!I71+OKTOBER!I71+NOVEMBER!I71+DESEMBER!I71)</f>
        <v>0</v>
      </c>
      <c r="J71" s="23">
        <f>SUM(JANUARI!J71+FEBRUARI!J71+MARET!J71+APRIL!J71+MEI!J71+JUNI!J71+JULI!J71+AGUSTUS!J71+SEPTEMBER!J71+OKTOBER!J71+NOVEMBER!J71+DESEMBER!J71)</f>
        <v>0</v>
      </c>
      <c r="K71" s="23">
        <f>SUM(JANUARI!K71+FEBRUARI!K71+MARET!K71+APRIL!K71+MEI!K71+JUNI!K71+JULI!K71+AGUSTUS!K71+SEPTEMBER!K71+OKTOBER!K71+NOVEMBER!K71+DESEMBER!K71)</f>
        <v>0</v>
      </c>
      <c r="L71" s="16">
        <f>SUM(JANUARI!L71+FEBRUARI!L71+MARET!L71+APRIL!L71+MEI!L71+JUNI!L71+JULI!L71+AGUSTUS!L71+SEPTEMBER!L71+OKTOBER!L71+NOVEMBER!L71+DESEMBER!L71)</f>
        <v>0</v>
      </c>
      <c r="M71" s="23">
        <f>SUM(JANUARI!M71+FEBRUARI!M71+MARET!M71+APRIL!M71+MEI!M71+JUNI!M71+JULI!M71+AGUSTUS!M71+SEPTEMBER!M71+OKTOBER!M71+NOVEMBER!M71+DESEMBER!M71)</f>
        <v>2</v>
      </c>
      <c r="N71" s="23">
        <f>SUM(JANUARI!N71+FEBRUARI!N71+MARET!N71+APRIL!N71+MEI!N71+JUNI!N71+JULI!N71+AGUSTUS!N71+SEPTEMBER!N71+OKTOBER!N71+NOVEMBER!N71+DESEMBER!N71)</f>
        <v>53</v>
      </c>
      <c r="O71" s="16">
        <f>SUM(JANUARI!O71+FEBRUARI!O71+MARET!O71+APRIL!O71+MEI!O71+JUNI!O71+JULI!O71+AGUSTUS!O71+SEPTEMBER!O71+OKTOBER!O71+NOVEMBER!O71+DESEMBER!O71)</f>
        <v>55</v>
      </c>
      <c r="P71" s="23">
        <f>SUM(JANUARI!P71+FEBRUARI!P71+MARET!P71+APRIL!P71+MEI!P71+JUNI!P71+JULI!P71+AGUSTUS!P71+SEPTEMBER!P71+OKTOBER!P71+NOVEMBER!P71+DESEMBER!P71)</f>
        <v>3</v>
      </c>
      <c r="Q71" s="23">
        <f>SUM(JANUARI!Q71+FEBRUARI!Q71+MARET!Q71+APRIL!Q71+MEI!Q71+JUNI!Q71+JULI!Q71+AGUSTUS!Q71+SEPTEMBER!Q71+OKTOBER!Q71+NOVEMBER!Q71+DESEMBER!Q71)</f>
        <v>40</v>
      </c>
      <c r="R71" s="16">
        <f>SUM(JANUARI!R71+FEBRUARI!R71+MARET!R71+APRIL!R71+MEI!R71+JUNI!R71+JULI!R71+AGUSTUS!R71+SEPTEMBER!R71+OKTOBER!R71+NOVEMBER!R71+DESEMBER!R71)</f>
        <v>43</v>
      </c>
      <c r="S71" s="23">
        <f>SUM(JANUARI!S71+FEBRUARI!S71+MARET!S71+APRIL!S71+MEI!S71+JUNI!S71+JULI!S71+AGUSTUS!S71+SEPTEMBER!S71+OKTOBER!S71+NOVEMBER!S71+DESEMBER!S71)</f>
        <v>7</v>
      </c>
      <c r="T71" s="23">
        <f>SUM(JANUARI!T71+FEBRUARI!T71+MARET!T71+APRIL!T71+MEI!T71+JUNI!T71+JULI!T71+AGUSTUS!T71+SEPTEMBER!T71+OKTOBER!T71+NOVEMBER!T71+DESEMBER!T71)</f>
        <v>52</v>
      </c>
      <c r="U71" s="16">
        <f>SUM(JANUARI!U71+FEBRUARI!U71+MARET!U71+APRIL!U71+MEI!U71+JUNI!U71+JULI!U71+AGUSTUS!U71+SEPTEMBER!U71+OKTOBER!U71+NOVEMBER!U71+DESEMBER!U71)</f>
        <v>59</v>
      </c>
    </row>
    <row r="72">
      <c r="A72" s="19"/>
      <c r="B72" s="20" t="s">
        <v>58</v>
      </c>
      <c r="C72" s="21" t="s">
        <v>59</v>
      </c>
      <c r="D72" s="23">
        <f>SUM(JANUARI!D72+FEBRUARI!D72+MARET!D72+APRIL!D72+MEI!D72+JUNI!D72+JULI!D72+AGUSTUS!D72+SEPTEMBER!D72+OKTOBER!D72+NOVEMBER!D72+DESEMBER!D72)</f>
        <v>0</v>
      </c>
      <c r="E72" s="23">
        <f>SUM(JANUARI!E72+FEBRUARI!E72+MARET!E72+APRIL!E72+MEI!E72+JUNI!E72+JULI!E72+AGUSTUS!E72+SEPTEMBER!E72+OKTOBER!E72+NOVEMBER!E72+DESEMBER!E72)</f>
        <v>0</v>
      </c>
      <c r="F72" s="16">
        <f>SUM(JANUARI!F72+FEBRUARI!F72+MARET!F72+APRIL!F72+MEI!F72+JUNI!F72+JULI!F72+AGUSTUS!F72+SEPTEMBER!F72+OKTOBER!F72+NOVEMBER!F72+DESEMBER!F72)</f>
        <v>0</v>
      </c>
      <c r="G72" s="23">
        <f>SUM(JANUARI!G72+FEBRUARI!G72+MARET!G72+APRIL!G72+MEI!G72+JUNI!G72+JULI!G72+AGUSTUS!G72+SEPTEMBER!G72+OKTOBER!G72+NOVEMBER!G72+DESEMBER!G72)</f>
        <v>0</v>
      </c>
      <c r="H72" s="23">
        <f>SUM(JANUARI!H72+FEBRUARI!H72+MARET!H72+APRIL!H72+MEI!H72+JUNI!H72+JULI!H72+AGUSTUS!H72+SEPTEMBER!H72+OKTOBER!H72+NOVEMBER!H72+DESEMBER!H72)</f>
        <v>0</v>
      </c>
      <c r="I72" s="16">
        <f>SUM(JANUARI!I72+FEBRUARI!I72+MARET!I72+APRIL!I72+MEI!I72+JUNI!I72+JULI!I72+AGUSTUS!I72+SEPTEMBER!I72+OKTOBER!I72+NOVEMBER!I72+DESEMBER!I72)</f>
        <v>0</v>
      </c>
      <c r="J72" s="23">
        <f>SUM(JANUARI!J72+FEBRUARI!J72+MARET!J72+APRIL!J72+MEI!J72+JUNI!J72+JULI!J72+AGUSTUS!J72+SEPTEMBER!J72+OKTOBER!J72+NOVEMBER!J72+DESEMBER!J72)</f>
        <v>0</v>
      </c>
      <c r="K72" s="23">
        <f>SUM(JANUARI!K72+FEBRUARI!K72+MARET!K72+APRIL!K72+MEI!K72+JUNI!K72+JULI!K72+AGUSTUS!K72+SEPTEMBER!K72+OKTOBER!K72+NOVEMBER!K72+DESEMBER!K72)</f>
        <v>0</v>
      </c>
      <c r="L72" s="16">
        <f>SUM(JANUARI!L72+FEBRUARI!L72+MARET!L72+APRIL!L72+MEI!L72+JUNI!L72+JULI!L72+AGUSTUS!L72+SEPTEMBER!L72+OKTOBER!L72+NOVEMBER!L72+DESEMBER!L72)</f>
        <v>0</v>
      </c>
      <c r="M72" s="23">
        <f>SUM(JANUARI!M72+FEBRUARI!M72+MARET!M72+APRIL!M72+MEI!M72+JUNI!M72+JULI!M72+AGUSTUS!M72+SEPTEMBER!M72+OKTOBER!M72+NOVEMBER!M72+DESEMBER!M72)</f>
        <v>4</v>
      </c>
      <c r="N72" s="23">
        <f>SUM(JANUARI!N72+FEBRUARI!N72+MARET!N72+APRIL!N72+MEI!N72+JUNI!N72+JULI!N72+AGUSTUS!N72+SEPTEMBER!N72+OKTOBER!N72+NOVEMBER!N72+DESEMBER!N72)</f>
        <v>53</v>
      </c>
      <c r="O72" s="16">
        <f>SUM(JANUARI!O72+FEBRUARI!O72+MARET!O72+APRIL!O72+MEI!O72+JUNI!O72+JULI!O72+AGUSTUS!O72+SEPTEMBER!O72+OKTOBER!O72+NOVEMBER!O72+DESEMBER!O72)</f>
        <v>57</v>
      </c>
      <c r="P72" s="23">
        <f>SUM(JANUARI!P72+FEBRUARI!P72+MARET!P72+APRIL!P72+MEI!P72+JUNI!P72+JULI!P72+AGUSTUS!P72+SEPTEMBER!P72+OKTOBER!P72+NOVEMBER!P72+DESEMBER!P72)</f>
        <v>2</v>
      </c>
      <c r="Q72" s="23">
        <f>SUM(JANUARI!Q72+FEBRUARI!Q72+MARET!Q72+APRIL!Q72+MEI!Q72+JUNI!Q72+JULI!Q72+AGUSTUS!Q72+SEPTEMBER!Q72+OKTOBER!Q72+NOVEMBER!Q72+DESEMBER!Q72)</f>
        <v>28</v>
      </c>
      <c r="R72" s="16">
        <f>SUM(JANUARI!R72+FEBRUARI!R72+MARET!R72+APRIL!R72+MEI!R72+JUNI!R72+JULI!R72+AGUSTUS!R72+SEPTEMBER!R72+OKTOBER!R72+NOVEMBER!R72+DESEMBER!R72)</f>
        <v>30</v>
      </c>
      <c r="S72" s="23">
        <f>SUM(JANUARI!S72+FEBRUARI!S72+MARET!S72+APRIL!S72+MEI!S72+JUNI!S72+JULI!S72+AGUSTUS!S72+SEPTEMBER!S72+OKTOBER!S72+NOVEMBER!S72+DESEMBER!S72)</f>
        <v>8</v>
      </c>
      <c r="T72" s="23">
        <f>SUM(JANUARI!T72+FEBRUARI!T72+MARET!T72+APRIL!T72+MEI!T72+JUNI!T72+JULI!T72+AGUSTUS!T72+SEPTEMBER!T72+OKTOBER!T72+NOVEMBER!T72+DESEMBER!T72)</f>
        <v>62</v>
      </c>
      <c r="U72" s="16">
        <f>SUM(JANUARI!U72+FEBRUARI!U72+MARET!U72+APRIL!U72+MEI!U72+JUNI!U72+JULI!U72+AGUSTUS!U72+SEPTEMBER!U72+OKTOBER!U72+NOVEMBER!U72+DESEMBER!U72)</f>
        <v>70</v>
      </c>
    </row>
    <row r="73">
      <c r="A73" s="19"/>
      <c r="B73" s="20" t="s">
        <v>60</v>
      </c>
      <c r="C73" s="21" t="s">
        <v>61</v>
      </c>
      <c r="D73" s="23">
        <f>SUM(JANUARI!D73+FEBRUARI!D73+MARET!D73+APRIL!D73+MEI!D73+JUNI!D73+JULI!D73+AGUSTUS!D73+SEPTEMBER!D73+OKTOBER!D73+NOVEMBER!D73+DESEMBER!D73)</f>
        <v>0</v>
      </c>
      <c r="E73" s="23">
        <f>SUM(JANUARI!E73+FEBRUARI!E73+MARET!E73+APRIL!E73+MEI!E73+JUNI!E73+JULI!E73+AGUSTUS!E73+SEPTEMBER!E73+OKTOBER!E73+NOVEMBER!E73+DESEMBER!E73)</f>
        <v>0</v>
      </c>
      <c r="F73" s="16">
        <f>SUM(JANUARI!F73+FEBRUARI!F73+MARET!F73+APRIL!F73+MEI!F73+JUNI!F73+JULI!F73+AGUSTUS!F73+SEPTEMBER!F73+OKTOBER!F73+NOVEMBER!F73+DESEMBER!F73)</f>
        <v>0</v>
      </c>
      <c r="G73" s="23">
        <f>SUM(JANUARI!G73+FEBRUARI!G73+MARET!G73+APRIL!G73+MEI!G73+JUNI!G73+JULI!G73+AGUSTUS!G73+SEPTEMBER!G73+OKTOBER!G73+NOVEMBER!G73+DESEMBER!G73)</f>
        <v>0</v>
      </c>
      <c r="H73" s="23">
        <f>SUM(JANUARI!H73+FEBRUARI!H73+MARET!H73+APRIL!H73+MEI!H73+JUNI!H73+JULI!H73+AGUSTUS!H73+SEPTEMBER!H73+OKTOBER!H73+NOVEMBER!H73+DESEMBER!H73)</f>
        <v>0</v>
      </c>
      <c r="I73" s="16">
        <f>SUM(JANUARI!I73+FEBRUARI!I73+MARET!I73+APRIL!I73+MEI!I73+JUNI!I73+JULI!I73+AGUSTUS!I73+SEPTEMBER!I73+OKTOBER!I73+NOVEMBER!I73+DESEMBER!I73)</f>
        <v>0</v>
      </c>
      <c r="J73" s="23">
        <f>SUM(JANUARI!J73+FEBRUARI!J73+MARET!J73+APRIL!J73+MEI!J73+JUNI!J73+JULI!J73+AGUSTUS!J73+SEPTEMBER!J73+OKTOBER!J73+NOVEMBER!J73+DESEMBER!J73)</f>
        <v>0</v>
      </c>
      <c r="K73" s="23">
        <f>SUM(JANUARI!K73+FEBRUARI!K73+MARET!K73+APRIL!K73+MEI!K73+JUNI!K73+JULI!K73+AGUSTUS!K73+SEPTEMBER!K73+OKTOBER!K73+NOVEMBER!K73+DESEMBER!K73)</f>
        <v>0</v>
      </c>
      <c r="L73" s="16">
        <f>SUM(JANUARI!L73+FEBRUARI!L73+MARET!L73+APRIL!L73+MEI!L73+JUNI!L73+JULI!L73+AGUSTUS!L73+SEPTEMBER!L73+OKTOBER!L73+NOVEMBER!L73+DESEMBER!L73)</f>
        <v>0</v>
      </c>
      <c r="M73" s="23">
        <f>SUM(JANUARI!M73+FEBRUARI!M73+MARET!M73+APRIL!M73+MEI!M73+JUNI!M73+JULI!M73+AGUSTUS!M73+SEPTEMBER!M73+OKTOBER!M73+NOVEMBER!M73+DESEMBER!M73)</f>
        <v>2</v>
      </c>
      <c r="N73" s="23">
        <f>SUM(JANUARI!N73+FEBRUARI!N73+MARET!N73+APRIL!N73+MEI!N73+JUNI!N73+JULI!N73+AGUSTUS!N73+SEPTEMBER!N73+OKTOBER!N73+NOVEMBER!N73+DESEMBER!N73)</f>
        <v>41</v>
      </c>
      <c r="O73" s="16">
        <f>SUM(JANUARI!O73+FEBRUARI!O73+MARET!O73+APRIL!O73+MEI!O73+JUNI!O73+JULI!O73+AGUSTUS!O73+SEPTEMBER!O73+OKTOBER!O73+NOVEMBER!O73+DESEMBER!O73)</f>
        <v>43</v>
      </c>
      <c r="P73" s="23">
        <f>SUM(JANUARI!P73+FEBRUARI!P73+MARET!P73+APRIL!P73+MEI!P73+JUNI!P73+JULI!P73+AGUSTUS!P73+SEPTEMBER!P73+OKTOBER!P73+NOVEMBER!P73+DESEMBER!P73)</f>
        <v>0</v>
      </c>
      <c r="Q73" s="23">
        <f>SUM(JANUARI!Q73+FEBRUARI!Q73+MARET!Q73+APRIL!Q73+MEI!Q73+JUNI!Q73+JULI!Q73+AGUSTUS!Q73+SEPTEMBER!Q73+OKTOBER!Q73+NOVEMBER!Q73+DESEMBER!Q73)</f>
        <v>40</v>
      </c>
      <c r="R73" s="16">
        <f>SUM(JANUARI!R73+FEBRUARI!R73+MARET!R73+APRIL!R73+MEI!R73+JUNI!R73+JULI!R73+AGUSTUS!R73+SEPTEMBER!R73+OKTOBER!R73+NOVEMBER!R73+DESEMBER!R73)</f>
        <v>40</v>
      </c>
      <c r="S73" s="23">
        <f>SUM(JANUARI!S73+FEBRUARI!S73+MARET!S73+APRIL!S73+MEI!S73+JUNI!S73+JULI!S73+AGUSTUS!S73+SEPTEMBER!S73+OKTOBER!S73+NOVEMBER!S73+DESEMBER!S73)</f>
        <v>6</v>
      </c>
      <c r="T73" s="23">
        <f>SUM(JANUARI!T73+FEBRUARI!T73+MARET!T73+APRIL!T73+MEI!T73+JUNI!T73+JULI!T73+AGUSTUS!T73+SEPTEMBER!T73+OKTOBER!T73+NOVEMBER!T73+DESEMBER!T73)</f>
        <v>49</v>
      </c>
      <c r="U73" s="16">
        <f>SUM(JANUARI!U73+FEBRUARI!U73+MARET!U73+APRIL!U73+MEI!U73+JUNI!U73+JULI!U73+AGUSTUS!U73+SEPTEMBER!U73+OKTOBER!U73+NOVEMBER!U73+DESEMBER!U73)</f>
        <v>55</v>
      </c>
    </row>
    <row r="74">
      <c r="A74" s="19"/>
      <c r="B74" s="20" t="s">
        <v>62</v>
      </c>
      <c r="C74" s="21" t="s">
        <v>63</v>
      </c>
      <c r="D74" s="23">
        <f>SUM(JANUARI!D74+FEBRUARI!D74+MARET!D74+APRIL!D74+MEI!D74+JUNI!D74+JULI!D74+AGUSTUS!D74+SEPTEMBER!D74+OKTOBER!D74+NOVEMBER!D74+DESEMBER!D74)</f>
        <v>0</v>
      </c>
      <c r="E74" s="23">
        <f>SUM(JANUARI!E74+FEBRUARI!E74+MARET!E74+APRIL!E74+MEI!E74+JUNI!E74+JULI!E74+AGUSTUS!E74+SEPTEMBER!E74+OKTOBER!E74+NOVEMBER!E74+DESEMBER!E74)</f>
        <v>0</v>
      </c>
      <c r="F74" s="16">
        <f>SUM(JANUARI!F74+FEBRUARI!F74+MARET!F74+APRIL!F74+MEI!F74+JUNI!F74+JULI!F74+AGUSTUS!F74+SEPTEMBER!F74+OKTOBER!F74+NOVEMBER!F74+DESEMBER!F74)</f>
        <v>0</v>
      </c>
      <c r="G74" s="23">
        <f>SUM(JANUARI!G74+FEBRUARI!G74+MARET!G74+APRIL!G74+MEI!G74+JUNI!G74+JULI!G74+AGUSTUS!G74+SEPTEMBER!G74+OKTOBER!G74+NOVEMBER!G74+DESEMBER!G74)</f>
        <v>0</v>
      </c>
      <c r="H74" s="23">
        <f>SUM(JANUARI!H74+FEBRUARI!H74+MARET!H74+APRIL!H74+MEI!H74+JUNI!H74+JULI!H74+AGUSTUS!H74+SEPTEMBER!H74+OKTOBER!H74+NOVEMBER!H74+DESEMBER!H74)</f>
        <v>0</v>
      </c>
      <c r="I74" s="16">
        <f>SUM(JANUARI!I74+FEBRUARI!I74+MARET!I74+APRIL!I74+MEI!I74+JUNI!I74+JULI!I74+AGUSTUS!I74+SEPTEMBER!I74+OKTOBER!I74+NOVEMBER!I74+DESEMBER!I74)</f>
        <v>0</v>
      </c>
      <c r="J74" s="23">
        <f>SUM(JANUARI!J74+FEBRUARI!J74+MARET!J74+APRIL!J74+MEI!J74+JUNI!J74+JULI!J74+AGUSTUS!J74+SEPTEMBER!J74+OKTOBER!J74+NOVEMBER!J74+DESEMBER!J74)</f>
        <v>0</v>
      </c>
      <c r="K74" s="23">
        <f>SUM(JANUARI!K74+FEBRUARI!K74+MARET!K74+APRIL!K74+MEI!K74+JUNI!K74+JULI!K74+AGUSTUS!K74+SEPTEMBER!K74+OKTOBER!K74+NOVEMBER!K74+DESEMBER!K74)</f>
        <v>0</v>
      </c>
      <c r="L74" s="16">
        <f>SUM(JANUARI!L74+FEBRUARI!L74+MARET!L74+APRIL!L74+MEI!L74+JUNI!L74+JULI!L74+AGUSTUS!L74+SEPTEMBER!L74+OKTOBER!L74+NOVEMBER!L74+DESEMBER!L74)</f>
        <v>0</v>
      </c>
      <c r="M74" s="23">
        <f>SUM(JANUARI!M74+FEBRUARI!M74+MARET!M74+APRIL!M74+MEI!M74+JUNI!M74+JULI!M74+AGUSTUS!M74+SEPTEMBER!M74+OKTOBER!M74+NOVEMBER!M74+DESEMBER!M74)</f>
        <v>0</v>
      </c>
      <c r="N74" s="23">
        <f>SUM(JANUARI!N74+FEBRUARI!N74+MARET!N74+APRIL!N74+MEI!N74+JUNI!N74+JULI!N74+AGUSTUS!N74+SEPTEMBER!N74+OKTOBER!N74+NOVEMBER!N74+DESEMBER!N74)</f>
        <v>0</v>
      </c>
      <c r="O74" s="16">
        <f>SUM(JANUARI!O74+FEBRUARI!O74+MARET!O74+APRIL!O74+MEI!O74+JUNI!O74+JULI!O74+AGUSTUS!O74+SEPTEMBER!O74+OKTOBER!O74+NOVEMBER!O74+DESEMBER!O74)</f>
        <v>0</v>
      </c>
      <c r="P74" s="23">
        <f>SUM(JANUARI!P74+FEBRUARI!P74+MARET!P74+APRIL!P74+MEI!P74+JUNI!P74+JULI!P74+AGUSTUS!P74+SEPTEMBER!P74+OKTOBER!P74+NOVEMBER!P74+DESEMBER!P74)</f>
        <v>0</v>
      </c>
      <c r="Q74" s="23">
        <f>SUM(JANUARI!Q74+FEBRUARI!Q74+MARET!Q74+APRIL!Q74+MEI!Q74+JUNI!Q74+JULI!Q74+AGUSTUS!Q74+SEPTEMBER!Q74+OKTOBER!Q74+NOVEMBER!Q74+DESEMBER!Q74)</f>
        <v>0</v>
      </c>
      <c r="R74" s="16">
        <f>SUM(JANUARI!R74+FEBRUARI!R74+MARET!R74+APRIL!R74+MEI!R74+JUNI!R74+JULI!R74+AGUSTUS!R74+SEPTEMBER!R74+OKTOBER!R74+NOVEMBER!R74+DESEMBER!R74)</f>
        <v>0</v>
      </c>
      <c r="S74" s="23">
        <f>SUM(JANUARI!S74+FEBRUARI!S74+MARET!S74+APRIL!S74+MEI!S74+JUNI!S74+JULI!S74+AGUSTUS!S74+SEPTEMBER!S74+OKTOBER!S74+NOVEMBER!S74+DESEMBER!S74)</f>
        <v>0</v>
      </c>
      <c r="T74" s="23">
        <f>SUM(JANUARI!T74+FEBRUARI!T74+MARET!T74+APRIL!T74+MEI!T74+JUNI!T74+JULI!T74+AGUSTUS!T74+SEPTEMBER!T74+OKTOBER!T74+NOVEMBER!T74+DESEMBER!T74)</f>
        <v>0</v>
      </c>
      <c r="U74" s="16">
        <f>SUM(JANUARI!U74+FEBRUARI!U74+MARET!U74+APRIL!U74+MEI!U74+JUNI!U74+JULI!U74+AGUSTUS!U74+SEPTEMBER!U74+OKTOBER!U74+NOVEMBER!U74+DESEMBER!U74)</f>
        <v>0</v>
      </c>
    </row>
    <row r="75">
      <c r="A75" s="19"/>
      <c r="B75" s="20" t="s">
        <v>64</v>
      </c>
      <c r="C75" s="21" t="s">
        <v>65</v>
      </c>
      <c r="D75" s="23">
        <f>SUM(JANUARI!D75+FEBRUARI!D75+MARET!D75+APRIL!D75+MEI!D75+JUNI!D75+JULI!D75+AGUSTUS!D75+SEPTEMBER!D75+OKTOBER!D75+NOVEMBER!D75+DESEMBER!D75)</f>
        <v>0</v>
      </c>
      <c r="E75" s="23">
        <f>SUM(JANUARI!E75+FEBRUARI!E75+MARET!E75+APRIL!E75+MEI!E75+JUNI!E75+JULI!E75+AGUSTUS!E75+SEPTEMBER!E75+OKTOBER!E75+NOVEMBER!E75+DESEMBER!E75)</f>
        <v>0</v>
      </c>
      <c r="F75" s="16">
        <f>SUM(JANUARI!F75+FEBRUARI!F75+MARET!F75+APRIL!F75+MEI!F75+JUNI!F75+JULI!F75+AGUSTUS!F75+SEPTEMBER!F75+OKTOBER!F75+NOVEMBER!F75+DESEMBER!F75)</f>
        <v>0</v>
      </c>
      <c r="G75" s="23">
        <f>SUM(JANUARI!G75+FEBRUARI!G75+MARET!G75+APRIL!G75+MEI!G75+JUNI!G75+JULI!G75+AGUSTUS!G75+SEPTEMBER!G75+OKTOBER!G75+NOVEMBER!G75+DESEMBER!G75)</f>
        <v>0</v>
      </c>
      <c r="H75" s="23">
        <f>SUM(JANUARI!H75+FEBRUARI!H75+MARET!H75+APRIL!H75+MEI!H75+JUNI!H75+JULI!H75+AGUSTUS!H75+SEPTEMBER!H75+OKTOBER!H75+NOVEMBER!H75+DESEMBER!H75)</f>
        <v>0</v>
      </c>
      <c r="I75" s="16">
        <f>SUM(JANUARI!I75+FEBRUARI!I75+MARET!I75+APRIL!I75+MEI!I75+JUNI!I75+JULI!I75+AGUSTUS!I75+SEPTEMBER!I75+OKTOBER!I75+NOVEMBER!I75+DESEMBER!I75)</f>
        <v>0</v>
      </c>
      <c r="J75" s="23">
        <f>SUM(JANUARI!J75+FEBRUARI!J75+MARET!J75+APRIL!J75+MEI!J75+JUNI!J75+JULI!J75+AGUSTUS!J75+SEPTEMBER!J75+OKTOBER!J75+NOVEMBER!J75+DESEMBER!J75)</f>
        <v>0</v>
      </c>
      <c r="K75" s="23">
        <f>SUM(JANUARI!K75+FEBRUARI!K75+MARET!K75+APRIL!K75+MEI!K75+JUNI!K75+JULI!K75+AGUSTUS!K75+SEPTEMBER!K75+OKTOBER!K75+NOVEMBER!K75+DESEMBER!K75)</f>
        <v>0</v>
      </c>
      <c r="L75" s="16">
        <f>SUM(JANUARI!L75+FEBRUARI!L75+MARET!L75+APRIL!L75+MEI!L75+JUNI!L75+JULI!L75+AGUSTUS!L75+SEPTEMBER!L75+OKTOBER!L75+NOVEMBER!L75+DESEMBER!L75)</f>
        <v>0</v>
      </c>
      <c r="M75" s="23">
        <f>SUM(JANUARI!M75+FEBRUARI!M75+MARET!M75+APRIL!M75+MEI!M75+JUNI!M75+JULI!M75+AGUSTUS!M75+SEPTEMBER!M75+OKTOBER!M75+NOVEMBER!M75+DESEMBER!M75)</f>
        <v>0</v>
      </c>
      <c r="N75" s="23">
        <f>SUM(JANUARI!N75+FEBRUARI!N75+MARET!N75+APRIL!N75+MEI!N75+JUNI!N75+JULI!N75+AGUSTUS!N75+SEPTEMBER!N75+OKTOBER!N75+NOVEMBER!N75+DESEMBER!N75)</f>
        <v>0</v>
      </c>
      <c r="O75" s="16">
        <f>SUM(JANUARI!O75+FEBRUARI!O75+MARET!O75+APRIL!O75+MEI!O75+JUNI!O75+JULI!O75+AGUSTUS!O75+SEPTEMBER!O75+OKTOBER!O75+NOVEMBER!O75+DESEMBER!O75)</f>
        <v>0</v>
      </c>
      <c r="P75" s="23">
        <f>SUM(JANUARI!P75+FEBRUARI!P75+MARET!P75+APRIL!P75+MEI!P75+JUNI!P75+JULI!P75+AGUSTUS!P75+SEPTEMBER!P75+OKTOBER!P75+NOVEMBER!P75+DESEMBER!P75)</f>
        <v>0</v>
      </c>
      <c r="Q75" s="23">
        <f>SUM(JANUARI!Q75+FEBRUARI!Q75+MARET!Q75+APRIL!Q75+MEI!Q75+JUNI!Q75+JULI!Q75+AGUSTUS!Q75+SEPTEMBER!Q75+OKTOBER!Q75+NOVEMBER!Q75+DESEMBER!Q75)</f>
        <v>0</v>
      </c>
      <c r="R75" s="16">
        <f>SUM(JANUARI!R75+FEBRUARI!R75+MARET!R75+APRIL!R75+MEI!R75+JUNI!R75+JULI!R75+AGUSTUS!R75+SEPTEMBER!R75+OKTOBER!R75+NOVEMBER!R75+DESEMBER!R75)</f>
        <v>0</v>
      </c>
      <c r="S75" s="23">
        <f>SUM(JANUARI!S75+FEBRUARI!S75+MARET!S75+APRIL!S75+MEI!S75+JUNI!S75+JULI!S75+AGUSTUS!S75+SEPTEMBER!S75+OKTOBER!S75+NOVEMBER!S75+DESEMBER!S75)</f>
        <v>0</v>
      </c>
      <c r="T75" s="23">
        <f>SUM(JANUARI!T75+FEBRUARI!T75+MARET!T75+APRIL!T75+MEI!T75+JUNI!T75+JULI!T75+AGUSTUS!T75+SEPTEMBER!T75+OKTOBER!T75+NOVEMBER!T75+DESEMBER!T75)</f>
        <v>0</v>
      </c>
      <c r="U75" s="16">
        <f>SUM(JANUARI!U75+FEBRUARI!U75+MARET!U75+APRIL!U75+MEI!U75+JUNI!U75+JULI!U75+AGUSTUS!U75+SEPTEMBER!U75+OKTOBER!U75+NOVEMBER!U75+DESEMBER!U75)</f>
        <v>0</v>
      </c>
    </row>
    <row r="76">
      <c r="A76" s="19"/>
      <c r="B76" s="20" t="s">
        <v>66</v>
      </c>
      <c r="C76" s="21" t="s">
        <v>67</v>
      </c>
      <c r="D76" s="23">
        <f>SUM(JANUARI!D76+FEBRUARI!D76+MARET!D76+APRIL!D76+MEI!D76+JUNI!D76+JULI!D76+AGUSTUS!D76+SEPTEMBER!D76+OKTOBER!D76+NOVEMBER!D76+DESEMBER!D76)</f>
        <v>0</v>
      </c>
      <c r="E76" s="23">
        <f>SUM(JANUARI!E76+FEBRUARI!E76+MARET!E76+APRIL!E76+MEI!E76+JUNI!E76+JULI!E76+AGUSTUS!E76+SEPTEMBER!E76+OKTOBER!E76+NOVEMBER!E76+DESEMBER!E76)</f>
        <v>0</v>
      </c>
      <c r="F76" s="16">
        <f>SUM(JANUARI!F76+FEBRUARI!F76+MARET!F76+APRIL!F76+MEI!F76+JUNI!F76+JULI!F76+AGUSTUS!F76+SEPTEMBER!F76+OKTOBER!F76+NOVEMBER!F76+DESEMBER!F76)</f>
        <v>0</v>
      </c>
      <c r="G76" s="23">
        <f>SUM(JANUARI!G76+FEBRUARI!G76+MARET!G76+APRIL!G76+MEI!G76+JUNI!G76+JULI!G76+AGUSTUS!G76+SEPTEMBER!G76+OKTOBER!G76+NOVEMBER!G76+DESEMBER!G76)</f>
        <v>0</v>
      </c>
      <c r="H76" s="23">
        <f>SUM(JANUARI!H76+FEBRUARI!H76+MARET!H76+APRIL!H76+MEI!H76+JUNI!H76+JULI!H76+AGUSTUS!H76+SEPTEMBER!H76+OKTOBER!H76+NOVEMBER!H76+DESEMBER!H76)</f>
        <v>0</v>
      </c>
      <c r="I76" s="16">
        <f>SUM(JANUARI!I76+FEBRUARI!I76+MARET!I76+APRIL!I76+MEI!I76+JUNI!I76+JULI!I76+AGUSTUS!I76+SEPTEMBER!I76+OKTOBER!I76+NOVEMBER!I76+DESEMBER!I76)</f>
        <v>0</v>
      </c>
      <c r="J76" s="23">
        <f>SUM(JANUARI!J76+FEBRUARI!J76+MARET!J76+APRIL!J76+MEI!J76+JUNI!J76+JULI!J76+AGUSTUS!J76+SEPTEMBER!J76+OKTOBER!J76+NOVEMBER!J76+DESEMBER!J76)</f>
        <v>0</v>
      </c>
      <c r="K76" s="23">
        <f>SUM(JANUARI!K76+FEBRUARI!K76+MARET!K76+APRIL!K76+MEI!K76+JUNI!K76+JULI!K76+AGUSTUS!K76+SEPTEMBER!K76+OKTOBER!K76+NOVEMBER!K76+DESEMBER!K76)</f>
        <v>0</v>
      </c>
      <c r="L76" s="16">
        <f>SUM(JANUARI!L76+FEBRUARI!L76+MARET!L76+APRIL!L76+MEI!L76+JUNI!L76+JULI!L76+AGUSTUS!L76+SEPTEMBER!L76+OKTOBER!L76+NOVEMBER!L76+DESEMBER!L76)</f>
        <v>0</v>
      </c>
      <c r="M76" s="23">
        <f>SUM(JANUARI!M76+FEBRUARI!M76+MARET!M76+APRIL!M76+MEI!M76+JUNI!M76+JULI!M76+AGUSTUS!M76+SEPTEMBER!M76+OKTOBER!M76+NOVEMBER!M76+DESEMBER!M76)</f>
        <v>0</v>
      </c>
      <c r="N76" s="23">
        <f>SUM(JANUARI!N76+FEBRUARI!N76+MARET!N76+APRIL!N76+MEI!N76+JUNI!N76+JULI!N76+AGUSTUS!N76+SEPTEMBER!N76+OKTOBER!N76+NOVEMBER!N76+DESEMBER!N76)</f>
        <v>59</v>
      </c>
      <c r="O76" s="16">
        <f>SUM(JANUARI!O76+FEBRUARI!O76+MARET!O76+APRIL!O76+MEI!O76+JUNI!O76+JULI!O76+AGUSTUS!O76+SEPTEMBER!O76+OKTOBER!O76+NOVEMBER!O76+DESEMBER!O76)</f>
        <v>59</v>
      </c>
      <c r="P76" s="23">
        <f>SUM(JANUARI!P76+FEBRUARI!P76+MARET!P76+APRIL!P76+MEI!P76+JUNI!P76+JULI!P76+AGUSTUS!P76+SEPTEMBER!P76+OKTOBER!P76+NOVEMBER!P76+DESEMBER!P76)</f>
        <v>0</v>
      </c>
      <c r="Q76" s="23">
        <f>SUM(JANUARI!Q76+FEBRUARI!Q76+MARET!Q76+APRIL!Q76+MEI!Q76+JUNI!Q76+JULI!Q76+AGUSTUS!Q76+SEPTEMBER!Q76+OKTOBER!Q76+NOVEMBER!Q76+DESEMBER!Q76)</f>
        <v>15</v>
      </c>
      <c r="R76" s="16">
        <f>SUM(JANUARI!R76+FEBRUARI!R76+MARET!R76+APRIL!R76+MEI!R76+JUNI!R76+JULI!R76+AGUSTUS!R76+SEPTEMBER!R76+OKTOBER!R76+NOVEMBER!R76+DESEMBER!R76)</f>
        <v>15</v>
      </c>
      <c r="S76" s="23">
        <f>SUM(JANUARI!S76+FEBRUARI!S76+MARET!S76+APRIL!S76+MEI!S76+JUNI!S76+JULI!S76+AGUSTUS!S76+SEPTEMBER!S76+OKTOBER!S76+NOVEMBER!S76+DESEMBER!S76)</f>
        <v>0</v>
      </c>
      <c r="T76" s="23">
        <f>SUM(JANUARI!T76+FEBRUARI!T76+MARET!T76+APRIL!T76+MEI!T76+JUNI!T76+JULI!T76+AGUSTUS!T76+SEPTEMBER!T76+OKTOBER!T76+NOVEMBER!T76+DESEMBER!T76)</f>
        <v>29</v>
      </c>
      <c r="U76" s="16">
        <f>SUM(JANUARI!U76+FEBRUARI!U76+MARET!U76+APRIL!U76+MEI!U76+JUNI!U76+JULI!U76+AGUSTUS!U76+SEPTEMBER!U76+OKTOBER!U76+NOVEMBER!U76+DESEMBER!U76)</f>
        <v>29</v>
      </c>
    </row>
    <row r="77">
      <c r="A77" s="19"/>
      <c r="B77" s="20" t="s">
        <v>68</v>
      </c>
      <c r="C77" s="21" t="s">
        <v>69</v>
      </c>
      <c r="D77" s="23">
        <f>SUM(JANUARI!D77+FEBRUARI!D77+MARET!D77+APRIL!D77+MEI!D77+JUNI!D77+JULI!D77+AGUSTUS!D77+SEPTEMBER!D77+OKTOBER!D77+NOVEMBER!D77+DESEMBER!D77)</f>
        <v>0</v>
      </c>
      <c r="E77" s="23">
        <f>SUM(JANUARI!E77+FEBRUARI!E77+MARET!E77+APRIL!E77+MEI!E77+JUNI!E77+JULI!E77+AGUSTUS!E77+SEPTEMBER!E77+OKTOBER!E77+NOVEMBER!E77+DESEMBER!E77)</f>
        <v>0</v>
      </c>
      <c r="F77" s="16">
        <f>SUM(JANUARI!F77+FEBRUARI!F77+MARET!F77+APRIL!F77+MEI!F77+JUNI!F77+JULI!F77+AGUSTUS!F77+SEPTEMBER!F77+OKTOBER!F77+NOVEMBER!F77+DESEMBER!F77)</f>
        <v>0</v>
      </c>
      <c r="G77" s="23">
        <f>SUM(JANUARI!G77+FEBRUARI!G77+MARET!G77+APRIL!G77+MEI!G77+JUNI!G77+JULI!G77+AGUSTUS!G77+SEPTEMBER!G77+OKTOBER!G77+NOVEMBER!G77+DESEMBER!G77)</f>
        <v>0</v>
      </c>
      <c r="H77" s="23">
        <f>SUM(JANUARI!H77+FEBRUARI!H77+MARET!H77+APRIL!H77+MEI!H77+JUNI!H77+JULI!H77+AGUSTUS!H77+SEPTEMBER!H77+OKTOBER!H77+NOVEMBER!H77+DESEMBER!H77)</f>
        <v>0</v>
      </c>
      <c r="I77" s="16">
        <f>SUM(JANUARI!I77+FEBRUARI!I77+MARET!I77+APRIL!I77+MEI!I77+JUNI!I77+JULI!I77+AGUSTUS!I77+SEPTEMBER!I77+OKTOBER!I77+NOVEMBER!I77+DESEMBER!I77)</f>
        <v>0</v>
      </c>
      <c r="J77" s="23">
        <f>SUM(JANUARI!J77+FEBRUARI!J77+MARET!J77+APRIL!J77+MEI!J77+JUNI!J77+JULI!J77+AGUSTUS!J77+SEPTEMBER!J77+OKTOBER!J77+NOVEMBER!J77+DESEMBER!J77)</f>
        <v>0</v>
      </c>
      <c r="K77" s="23">
        <f>SUM(JANUARI!K77+FEBRUARI!K77+MARET!K77+APRIL!K77+MEI!K77+JUNI!K77+JULI!K77+AGUSTUS!K77+SEPTEMBER!K77+OKTOBER!K77+NOVEMBER!K77+DESEMBER!K77)</f>
        <v>0</v>
      </c>
      <c r="L77" s="16">
        <f>SUM(JANUARI!L77+FEBRUARI!L77+MARET!L77+APRIL!L77+MEI!L77+JUNI!L77+JULI!L77+AGUSTUS!L77+SEPTEMBER!L77+OKTOBER!L77+NOVEMBER!L77+DESEMBER!L77)</f>
        <v>0</v>
      </c>
      <c r="M77" s="23">
        <f>SUM(JANUARI!M77+FEBRUARI!M77+MARET!M77+APRIL!M77+MEI!M77+JUNI!M77+JULI!M77+AGUSTUS!M77+SEPTEMBER!M77+OKTOBER!M77+NOVEMBER!M77+DESEMBER!M77)</f>
        <v>1</v>
      </c>
      <c r="N77" s="23">
        <f>SUM(JANUARI!N77+FEBRUARI!N77+MARET!N77+APRIL!N77+MEI!N77+JUNI!N77+JULI!N77+AGUSTUS!N77+SEPTEMBER!N77+OKTOBER!N77+NOVEMBER!N77+DESEMBER!N77)</f>
        <v>0</v>
      </c>
      <c r="O77" s="16">
        <f>SUM(JANUARI!O77+FEBRUARI!O77+MARET!O77+APRIL!O77+MEI!O77+JUNI!O77+JULI!O77+AGUSTUS!O77+SEPTEMBER!O77+OKTOBER!O77+NOVEMBER!O77+DESEMBER!O77)</f>
        <v>1</v>
      </c>
      <c r="P77" s="23">
        <f>SUM(JANUARI!P77+FEBRUARI!P77+MARET!P77+APRIL!P77+MEI!P77+JUNI!P77+JULI!P77+AGUSTUS!P77+SEPTEMBER!P77+OKTOBER!P77+NOVEMBER!P77+DESEMBER!P77)</f>
        <v>0</v>
      </c>
      <c r="Q77" s="23">
        <f>SUM(JANUARI!Q77+FEBRUARI!Q77+MARET!Q77+APRIL!Q77+MEI!Q77+JUNI!Q77+JULI!Q77+AGUSTUS!Q77+SEPTEMBER!Q77+OKTOBER!Q77+NOVEMBER!Q77+DESEMBER!Q77)</f>
        <v>0</v>
      </c>
      <c r="R77" s="16">
        <f>SUM(JANUARI!R77+FEBRUARI!R77+MARET!R77+APRIL!R77+MEI!R77+JUNI!R77+JULI!R77+AGUSTUS!R77+SEPTEMBER!R77+OKTOBER!R77+NOVEMBER!R77+DESEMBER!R77)</f>
        <v>0</v>
      </c>
      <c r="S77" s="23">
        <f>SUM(JANUARI!S77+FEBRUARI!S77+MARET!S77+APRIL!S77+MEI!S77+JUNI!S77+JULI!S77+AGUSTUS!S77+SEPTEMBER!S77+OKTOBER!S77+NOVEMBER!S77+DESEMBER!S77)</f>
        <v>0</v>
      </c>
      <c r="T77" s="23">
        <f>SUM(JANUARI!T77+FEBRUARI!T77+MARET!T77+APRIL!T77+MEI!T77+JUNI!T77+JULI!T77+AGUSTUS!T77+SEPTEMBER!T77+OKTOBER!T77+NOVEMBER!T77+DESEMBER!T77)</f>
        <v>0</v>
      </c>
      <c r="U77" s="16">
        <f>SUM(JANUARI!U77+FEBRUARI!U77+MARET!U77+APRIL!U77+MEI!U77+JUNI!U77+JULI!U77+AGUSTUS!U77+SEPTEMBER!U77+OKTOBER!U77+NOVEMBER!U77+DESEMBER!U77)</f>
        <v>0</v>
      </c>
    </row>
    <row r="78">
      <c r="A78" s="19"/>
      <c r="B78" s="20" t="s">
        <v>70</v>
      </c>
      <c r="C78" s="21" t="s">
        <v>71</v>
      </c>
      <c r="D78" s="23">
        <f>SUM(JANUARI!D78+FEBRUARI!D78+MARET!D78+APRIL!D78+MEI!D78+JUNI!D78+JULI!D78+AGUSTUS!D78+SEPTEMBER!D78+OKTOBER!D78+NOVEMBER!D78+DESEMBER!D78)</f>
        <v>0</v>
      </c>
      <c r="E78" s="23">
        <f>SUM(JANUARI!E78+FEBRUARI!E78+MARET!E78+APRIL!E78+MEI!E78+JUNI!E78+JULI!E78+AGUSTUS!E78+SEPTEMBER!E78+OKTOBER!E78+NOVEMBER!E78+DESEMBER!E78)</f>
        <v>0</v>
      </c>
      <c r="F78" s="16">
        <f>SUM(JANUARI!F78+FEBRUARI!F78+MARET!F78+APRIL!F78+MEI!F78+JUNI!F78+JULI!F78+AGUSTUS!F78+SEPTEMBER!F78+OKTOBER!F78+NOVEMBER!F78+DESEMBER!F78)</f>
        <v>0</v>
      </c>
      <c r="G78" s="23">
        <f>SUM(JANUARI!G78+FEBRUARI!G78+MARET!G78+APRIL!G78+MEI!G78+JUNI!G78+JULI!G78+AGUSTUS!G78+SEPTEMBER!G78+OKTOBER!G78+NOVEMBER!G78+DESEMBER!G78)</f>
        <v>0</v>
      </c>
      <c r="H78" s="23">
        <f>SUM(JANUARI!H78+FEBRUARI!H78+MARET!H78+APRIL!H78+MEI!H78+JUNI!H78+JULI!H78+AGUSTUS!H78+SEPTEMBER!H78+OKTOBER!H78+NOVEMBER!H78+DESEMBER!H78)</f>
        <v>0</v>
      </c>
      <c r="I78" s="16">
        <f>SUM(JANUARI!I78+FEBRUARI!I78+MARET!I78+APRIL!I78+MEI!I78+JUNI!I78+JULI!I78+AGUSTUS!I78+SEPTEMBER!I78+OKTOBER!I78+NOVEMBER!I78+DESEMBER!I78)</f>
        <v>0</v>
      </c>
      <c r="J78" s="23">
        <f>SUM(JANUARI!J78+FEBRUARI!J78+MARET!J78+APRIL!J78+MEI!J78+JUNI!J78+JULI!J78+AGUSTUS!J78+SEPTEMBER!J78+OKTOBER!J78+NOVEMBER!J78+DESEMBER!J78)</f>
        <v>0</v>
      </c>
      <c r="K78" s="23">
        <f>SUM(JANUARI!K78+FEBRUARI!K78+MARET!K78+APRIL!K78+MEI!K78+JUNI!K78+JULI!K78+AGUSTUS!K78+SEPTEMBER!K78+OKTOBER!K78+NOVEMBER!K78+DESEMBER!K78)</f>
        <v>0</v>
      </c>
      <c r="L78" s="16">
        <f>SUM(JANUARI!L78+FEBRUARI!L78+MARET!L78+APRIL!L78+MEI!L78+JUNI!L78+JULI!L78+AGUSTUS!L78+SEPTEMBER!L78+OKTOBER!L78+NOVEMBER!L78+DESEMBER!L78)</f>
        <v>0</v>
      </c>
      <c r="M78" s="23">
        <f>SUM(JANUARI!M78+FEBRUARI!M78+MARET!M78+APRIL!M78+MEI!M78+JUNI!M78+JULI!M78+AGUSTUS!M78+SEPTEMBER!M78+OKTOBER!M78+NOVEMBER!M78+DESEMBER!M78)</f>
        <v>6</v>
      </c>
      <c r="N78" s="23">
        <f>SUM(JANUARI!N78+FEBRUARI!N78+MARET!N78+APRIL!N78+MEI!N78+JUNI!N78+JULI!N78+AGUSTUS!N78+SEPTEMBER!N78+OKTOBER!N78+NOVEMBER!N78+DESEMBER!N78)</f>
        <v>17</v>
      </c>
      <c r="O78" s="16">
        <f>SUM(JANUARI!O78+FEBRUARI!O78+MARET!O78+APRIL!O78+MEI!O78+JUNI!O78+JULI!O78+AGUSTUS!O78+SEPTEMBER!O78+OKTOBER!O78+NOVEMBER!O78+DESEMBER!O78)</f>
        <v>23</v>
      </c>
      <c r="P78" s="23">
        <f>SUM(JANUARI!P78+FEBRUARI!P78+MARET!P78+APRIL!P78+MEI!P78+JUNI!P78+JULI!P78+AGUSTUS!P78+SEPTEMBER!P78+OKTOBER!P78+NOVEMBER!P78+DESEMBER!P78)</f>
        <v>1</v>
      </c>
      <c r="Q78" s="23">
        <f>SUM(JANUARI!Q78+FEBRUARI!Q78+MARET!Q78+APRIL!Q78+MEI!Q78+JUNI!Q78+JULI!Q78+AGUSTUS!Q78+SEPTEMBER!Q78+OKTOBER!Q78+NOVEMBER!Q78+DESEMBER!Q78)</f>
        <v>0</v>
      </c>
      <c r="R78" s="16">
        <f>SUM(JANUARI!R78+FEBRUARI!R78+MARET!R78+APRIL!R78+MEI!R78+JUNI!R78+JULI!R78+AGUSTUS!R78+SEPTEMBER!R78+OKTOBER!R78+NOVEMBER!R78+DESEMBER!R78)</f>
        <v>1</v>
      </c>
      <c r="S78" s="23">
        <f>SUM(JANUARI!S78+FEBRUARI!S78+MARET!S78+APRIL!S78+MEI!S78+JUNI!S78+JULI!S78+AGUSTUS!S78+SEPTEMBER!S78+OKTOBER!S78+NOVEMBER!S78+DESEMBER!S78)</f>
        <v>0</v>
      </c>
      <c r="T78" s="23">
        <f>SUM(JANUARI!T78+FEBRUARI!T78+MARET!T78+APRIL!T78+MEI!T78+JUNI!T78+JULI!T78+AGUSTUS!T78+SEPTEMBER!T78+OKTOBER!T78+NOVEMBER!T78+DESEMBER!T78)</f>
        <v>1</v>
      </c>
      <c r="U78" s="16">
        <f>SUM(JANUARI!U78+FEBRUARI!U78+MARET!U78+APRIL!U78+MEI!U78+JUNI!U78+JULI!U78+AGUSTUS!U78+SEPTEMBER!U78+OKTOBER!U78+NOVEMBER!U78+DESEMBER!U78)</f>
        <v>1</v>
      </c>
    </row>
    <row r="79">
      <c r="A79" s="10"/>
      <c r="B79" s="20" t="s">
        <v>72</v>
      </c>
      <c r="C79" s="21" t="s">
        <v>73</v>
      </c>
      <c r="D79" s="23">
        <f>SUM(JANUARI!D79+FEBRUARI!D79+MARET!D79+APRIL!D79+MEI!D79+JUNI!D79+JULI!D79+AGUSTUS!D79+SEPTEMBER!D79+OKTOBER!D79+NOVEMBER!D79+DESEMBER!D79)</f>
        <v>0</v>
      </c>
      <c r="E79" s="23">
        <f>SUM(JANUARI!E79+FEBRUARI!E79+MARET!E79+APRIL!E79+MEI!E79+JUNI!E79+JULI!E79+AGUSTUS!E79+SEPTEMBER!E79+OKTOBER!E79+NOVEMBER!E79+DESEMBER!E79)</f>
        <v>0</v>
      </c>
      <c r="F79" s="16">
        <f>SUM(JANUARI!F79+FEBRUARI!F79+MARET!F79+APRIL!F79+MEI!F79+JUNI!F79+JULI!F79+AGUSTUS!F79+SEPTEMBER!F79+OKTOBER!F79+NOVEMBER!F79+DESEMBER!F79)</f>
        <v>0</v>
      </c>
      <c r="G79" s="23">
        <f>SUM(JANUARI!G79+FEBRUARI!G79+MARET!G79+APRIL!G79+MEI!G79+JUNI!G79+JULI!G79+AGUSTUS!G79+SEPTEMBER!G79+OKTOBER!G79+NOVEMBER!G79+DESEMBER!G79)</f>
        <v>0</v>
      </c>
      <c r="H79" s="23">
        <f>SUM(JANUARI!H79+FEBRUARI!H79+MARET!H79+APRIL!H79+MEI!H79+JUNI!H79+JULI!H79+AGUSTUS!H79+SEPTEMBER!H79+OKTOBER!H79+NOVEMBER!H79+DESEMBER!H79)</f>
        <v>0</v>
      </c>
      <c r="I79" s="16">
        <f>SUM(JANUARI!I79+FEBRUARI!I79+MARET!I79+APRIL!I79+MEI!I79+JUNI!I79+JULI!I79+AGUSTUS!I79+SEPTEMBER!I79+OKTOBER!I79+NOVEMBER!I79+DESEMBER!I79)</f>
        <v>0</v>
      </c>
      <c r="J79" s="23">
        <f>SUM(JANUARI!J79+FEBRUARI!J79+MARET!J79+APRIL!J79+MEI!J79+JUNI!J79+JULI!J79+AGUSTUS!J79+SEPTEMBER!J79+OKTOBER!J79+NOVEMBER!J79+DESEMBER!J79)</f>
        <v>0</v>
      </c>
      <c r="K79" s="23">
        <f>SUM(JANUARI!K79+FEBRUARI!K79+MARET!K79+APRIL!K79+MEI!K79+JUNI!K79+JULI!K79+AGUSTUS!K79+SEPTEMBER!K79+OKTOBER!K79+NOVEMBER!K79+DESEMBER!K79)</f>
        <v>0</v>
      </c>
      <c r="L79" s="16">
        <f>SUM(JANUARI!L79+FEBRUARI!L79+MARET!L79+APRIL!L79+MEI!L79+JUNI!L79+JULI!L79+AGUSTUS!L79+SEPTEMBER!L79+OKTOBER!L79+NOVEMBER!L79+DESEMBER!L79)</f>
        <v>0</v>
      </c>
      <c r="M79" s="23">
        <f>SUM(JANUARI!M79+FEBRUARI!M79+MARET!M79+APRIL!M79+MEI!M79+JUNI!M79+JULI!M79+AGUSTUS!M79+SEPTEMBER!M79+OKTOBER!M79+NOVEMBER!M79+DESEMBER!M79)</f>
        <v>0</v>
      </c>
      <c r="N79" s="23">
        <f>SUM(JANUARI!N79+FEBRUARI!N79+MARET!N79+APRIL!N79+MEI!N79+JUNI!N79+JULI!N79+AGUSTUS!N79+SEPTEMBER!N79+OKTOBER!N79+NOVEMBER!N79+DESEMBER!N79)</f>
        <v>0</v>
      </c>
      <c r="O79" s="16">
        <f>SUM(JANUARI!O79+FEBRUARI!O79+MARET!O79+APRIL!O79+MEI!O79+JUNI!O79+JULI!O79+AGUSTUS!O79+SEPTEMBER!O79+OKTOBER!O79+NOVEMBER!O79+DESEMBER!O79)</f>
        <v>0</v>
      </c>
      <c r="P79" s="23">
        <f>SUM(JANUARI!P79+FEBRUARI!P79+MARET!P79+APRIL!P79+MEI!P79+JUNI!P79+JULI!P79+AGUSTUS!P79+SEPTEMBER!P79+OKTOBER!P79+NOVEMBER!P79+DESEMBER!P79)</f>
        <v>1</v>
      </c>
      <c r="Q79" s="23">
        <f>SUM(JANUARI!Q79+FEBRUARI!Q79+MARET!Q79+APRIL!Q79+MEI!Q79+JUNI!Q79+JULI!Q79+AGUSTUS!Q79+SEPTEMBER!Q79+OKTOBER!Q79+NOVEMBER!Q79+DESEMBER!Q79)</f>
        <v>1</v>
      </c>
      <c r="R79" s="16">
        <f>SUM(JANUARI!R79+FEBRUARI!R79+MARET!R79+APRIL!R79+MEI!R79+JUNI!R79+JULI!R79+AGUSTUS!R79+SEPTEMBER!R79+OKTOBER!R79+NOVEMBER!R79+DESEMBER!R79)</f>
        <v>2</v>
      </c>
      <c r="S79" s="23">
        <f>SUM(JANUARI!S79+FEBRUARI!S79+MARET!S79+APRIL!S79+MEI!S79+JUNI!S79+JULI!S79+AGUSTUS!S79+SEPTEMBER!S79+OKTOBER!S79+NOVEMBER!S79+DESEMBER!S79)</f>
        <v>0</v>
      </c>
      <c r="T79" s="23">
        <f>SUM(JANUARI!T79+FEBRUARI!T79+MARET!T79+APRIL!T79+MEI!T79+JUNI!T79+JULI!T79+AGUSTUS!T79+SEPTEMBER!T79+OKTOBER!T79+NOVEMBER!T79+DESEMBER!T79)</f>
        <v>0</v>
      </c>
      <c r="U79" s="16">
        <f>SUM(JANUARI!U79+FEBRUARI!U79+MARET!U79+APRIL!U79+MEI!U79+JUNI!U79+JULI!U79+AGUSTUS!U79+SEPTEMBER!U79+OKTOBER!U79+NOVEMBER!U79+DESEMBER!U79)</f>
        <v>0</v>
      </c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</sheetData>
  <mergeCells count="29">
    <mergeCell ref="P6:R6"/>
    <mergeCell ref="S6:U6"/>
    <mergeCell ref="A2:U2"/>
    <mergeCell ref="A3:U3"/>
    <mergeCell ref="A4:U4"/>
    <mergeCell ref="A6:A7"/>
    <mergeCell ref="B6:C7"/>
    <mergeCell ref="D6:F6"/>
    <mergeCell ref="G6:I6"/>
    <mergeCell ref="B8:C8"/>
    <mergeCell ref="B44:C45"/>
    <mergeCell ref="D44:F44"/>
    <mergeCell ref="B46:C46"/>
    <mergeCell ref="A47:A55"/>
    <mergeCell ref="B47:C47"/>
    <mergeCell ref="A56:A79"/>
    <mergeCell ref="B56:C56"/>
    <mergeCell ref="G44:I44"/>
    <mergeCell ref="J44:L44"/>
    <mergeCell ref="P44:R44"/>
    <mergeCell ref="S44:U44"/>
    <mergeCell ref="J6:L6"/>
    <mergeCell ref="M6:O6"/>
    <mergeCell ref="A9:A17"/>
    <mergeCell ref="B9:C9"/>
    <mergeCell ref="A18:A41"/>
    <mergeCell ref="B18:C18"/>
    <mergeCell ref="A44:A45"/>
    <mergeCell ref="M44:O44"/>
  </mergeCells>
  <drawing r:id="rId1"/>
</worksheet>
</file>